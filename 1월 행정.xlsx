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\\192.168.10.242\재활치료센터\!. 2층 재활 행정실\행정공유\3.행정\5층\"/>
    </mc:Choice>
  </mc:AlternateContent>
  <xr:revisionPtr revIDLastSave="0" documentId="13_ncr:1_{09B97EB4-1007-4E40-AC42-5F3CE671B93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치료실현황" sheetId="1" r:id="rId1"/>
    <sheet name="전문재활환자 " sheetId="6" r:id="rId2"/>
    <sheet name="회복기환자 " sheetId="7" r:id="rId3"/>
    <sheet name="산재명단" sheetId="5" r:id="rId4"/>
  </sheets>
  <definedNames>
    <definedName name="_xlnm._FilterDatabase" localSheetId="1" hidden="1">'전문재활환자 '!$A$2:$J$2</definedName>
    <definedName name="_xlnm._FilterDatabase" localSheetId="2" hidden="1">'회복기환자 '!$C$3:$K$3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9" i="6" l="1"/>
  <c r="E39" i="6"/>
  <c r="D39" i="6"/>
  <c r="G17" i="7"/>
  <c r="F17" i="7"/>
  <c r="F16" i="7"/>
  <c r="G16" i="7"/>
  <c r="G54" i="7"/>
  <c r="F31" i="7"/>
  <c r="G31" i="7"/>
  <c r="F35" i="6"/>
  <c r="E35" i="6"/>
  <c r="D35" i="6"/>
  <c r="D14" i="6"/>
  <c r="E14" i="6"/>
  <c r="F14" i="6"/>
  <c r="G38" i="7"/>
  <c r="F38" i="7"/>
  <c r="G14" i="7"/>
  <c r="F14" i="7"/>
  <c r="F15" i="7"/>
  <c r="G15" i="7"/>
  <c r="F33" i="6"/>
  <c r="E33" i="6"/>
  <c r="D33" i="6"/>
  <c r="G12" i="7"/>
  <c r="F12" i="7"/>
  <c r="G36" i="7"/>
  <c r="F36" i="7"/>
  <c r="F30" i="7"/>
  <c r="G30" i="7"/>
  <c r="F13" i="7"/>
  <c r="G13" i="7"/>
  <c r="G11" i="7"/>
  <c r="F11" i="7"/>
  <c r="F31" i="6"/>
  <c r="E31" i="6"/>
  <c r="D31" i="6"/>
  <c r="G37" i="7"/>
  <c r="F37" i="7"/>
  <c r="F29" i="6"/>
  <c r="E29" i="6"/>
  <c r="D29" i="6"/>
  <c r="F27" i="6"/>
  <c r="E27" i="6"/>
  <c r="D27" i="6"/>
  <c r="G52" i="7" l="1"/>
  <c r="G53" i="7"/>
  <c r="G6" i="7"/>
  <c r="G51" i="7"/>
  <c r="G35" i="7" l="1"/>
  <c r="F35" i="7"/>
  <c r="F28" i="6" l="1"/>
  <c r="E28" i="6"/>
  <c r="D28" i="6"/>
  <c r="F9" i="7"/>
  <c r="F10" i="7"/>
  <c r="D3" i="6" l="1"/>
  <c r="F26" i="6" l="1"/>
  <c r="E26" i="6"/>
  <c r="D26" i="6"/>
  <c r="F25" i="6"/>
  <c r="D25" i="6"/>
  <c r="G10" i="7" l="1"/>
  <c r="E25" i="6" l="1"/>
  <c r="G9" i="7" l="1"/>
  <c r="D4" i="6" l="1"/>
  <c r="E4" i="6"/>
  <c r="F4" i="6"/>
  <c r="F8" i="7"/>
  <c r="G8" i="7"/>
  <c r="G50" i="7" l="1"/>
  <c r="G49" i="7"/>
  <c r="G48" i="7"/>
  <c r="G47" i="7"/>
  <c r="G46" i="7"/>
  <c r="G45" i="7"/>
  <c r="G44" i="7"/>
  <c r="G43" i="7"/>
  <c r="G42" i="7"/>
  <c r="F4" i="7"/>
  <c r="G4" i="7"/>
  <c r="F5" i="7"/>
  <c r="G5" i="7"/>
  <c r="F6" i="7"/>
  <c r="F7" i="7"/>
  <c r="G7" i="7"/>
  <c r="F3" i="6"/>
  <c r="E3" i="6"/>
  <c r="E11" i="6"/>
  <c r="D5" i="6" l="1"/>
  <c r="E5" i="6"/>
  <c r="F5" i="6"/>
  <c r="D6" i="6"/>
  <c r="E6" i="6"/>
  <c r="F6" i="6"/>
  <c r="D7" i="6"/>
  <c r="E7" i="6"/>
  <c r="F7" i="6"/>
  <c r="D8" i="6"/>
  <c r="E8" i="6"/>
  <c r="F8" i="6"/>
  <c r="D9" i="6"/>
  <c r="E9" i="6"/>
  <c r="F9" i="6"/>
  <c r="D16" i="6"/>
  <c r="E16" i="6"/>
  <c r="F16" i="6"/>
  <c r="D15" i="6"/>
  <c r="E15" i="6"/>
  <c r="F15" i="6"/>
  <c r="D12" i="6"/>
  <c r="E12" i="6"/>
  <c r="F12" i="6"/>
  <c r="D13" i="6"/>
  <c r="E13" i="6"/>
  <c r="F13" i="6"/>
  <c r="D24" i="6"/>
  <c r="E24" i="6"/>
  <c r="F24" i="6"/>
  <c r="D17" i="6"/>
  <c r="E17" i="6"/>
  <c r="F17" i="6"/>
  <c r="D18" i="6"/>
  <c r="E18" i="6"/>
  <c r="F18" i="6"/>
  <c r="D10" i="6"/>
  <c r="E10" i="6"/>
  <c r="F10" i="6"/>
  <c r="D11" i="6"/>
  <c r="F11" i="6"/>
  <c r="D21" i="6"/>
  <c r="E21" i="6"/>
  <c r="F21" i="6"/>
  <c r="D19" i="6"/>
  <c r="E19" i="6"/>
  <c r="F19" i="6"/>
  <c r="D22" i="6"/>
  <c r="E22" i="6"/>
  <c r="F22" i="6"/>
  <c r="D23" i="6"/>
  <c r="E23" i="6"/>
  <c r="F23" i="6"/>
  <c r="D20" i="6"/>
  <c r="E20" i="6"/>
  <c r="F20" i="6"/>
</calcChain>
</file>

<file path=xl/sharedStrings.xml><?xml version="1.0" encoding="utf-8"?>
<sst xmlns="http://schemas.openxmlformats.org/spreadsheetml/2006/main" count="411" uniqueCount="293">
  <si>
    <t xml:space="preserve"> </t>
    <phoneticPr fontId="2" type="noConversion"/>
  </si>
  <si>
    <t>C,A</t>
    <phoneticPr fontId="2" type="noConversion"/>
  </si>
  <si>
    <t>N,M2,F</t>
    <phoneticPr fontId="2" type="noConversion"/>
  </si>
  <si>
    <t>신환</t>
    <phoneticPr fontId="2" type="noConversion"/>
  </si>
  <si>
    <t>변경사항</t>
    <phoneticPr fontId="2" type="noConversion"/>
  </si>
  <si>
    <t>도수/통증</t>
    <phoneticPr fontId="2" type="noConversion"/>
  </si>
  <si>
    <t>치료없음</t>
    <phoneticPr fontId="2" type="noConversion"/>
  </si>
  <si>
    <t>회복기재활</t>
    <phoneticPr fontId="2" type="noConversion"/>
  </si>
  <si>
    <t>산재집중</t>
    <phoneticPr fontId="2" type="noConversion"/>
  </si>
  <si>
    <t>환자현황</t>
    <phoneticPr fontId="2" type="noConversion"/>
  </si>
  <si>
    <t>C,도수(M7,M12)</t>
    <phoneticPr fontId="2" type="noConversion"/>
  </si>
  <si>
    <t>&lt; NS &gt;</t>
    <phoneticPr fontId="2" type="noConversion"/>
  </si>
  <si>
    <t>&lt; OS &gt;</t>
    <phoneticPr fontId="2" type="noConversion"/>
  </si>
  <si>
    <t>권용길</t>
    <phoneticPr fontId="2" type="noConversion"/>
  </si>
  <si>
    <t>&lt;NS&gt;</t>
    <phoneticPr fontId="2" type="noConversion"/>
  </si>
  <si>
    <t>&lt;회복기&gt;</t>
    <phoneticPr fontId="2" type="noConversion"/>
  </si>
  <si>
    <t xml:space="preserve">  &lt;내과&gt;</t>
    <phoneticPr fontId="2" type="noConversion"/>
  </si>
  <si>
    <t xml:space="preserve">  &lt;산재&gt;</t>
    <phoneticPr fontId="2" type="noConversion"/>
  </si>
  <si>
    <t>박성구</t>
    <phoneticPr fontId="2" type="noConversion"/>
  </si>
  <si>
    <t>우학송</t>
    <phoneticPr fontId="2" type="noConversion"/>
  </si>
  <si>
    <t>송갑헌</t>
    <phoneticPr fontId="2" type="noConversion"/>
  </si>
  <si>
    <t>김택중</t>
    <phoneticPr fontId="2" type="noConversion"/>
  </si>
  <si>
    <t>양병후</t>
    <phoneticPr fontId="2" type="noConversion"/>
  </si>
  <si>
    <t>신연애</t>
    <phoneticPr fontId="2" type="noConversion"/>
  </si>
  <si>
    <t>임헌수2</t>
    <phoneticPr fontId="2" type="noConversion"/>
  </si>
  <si>
    <t>김진옥7</t>
    <phoneticPr fontId="2" type="noConversion"/>
  </si>
  <si>
    <t>조정자</t>
    <phoneticPr fontId="2" type="noConversion"/>
  </si>
  <si>
    <t>환자명</t>
    <phoneticPr fontId="2" type="noConversion"/>
  </si>
  <si>
    <t>박은용</t>
    <phoneticPr fontId="2" type="noConversion"/>
  </si>
  <si>
    <t xml:space="preserve">
- 1~12주 (1차 승인) : 집중산재
- 13주~ : 일반산재 (집중산재는 인정)
 통증 BID, COM, 산재로봇 기본단위 
(상지는 로봇 포함안됨)
- 산재로봇 6개월 까지 청구 가능
-6개월 이후부터는 ~
- M25(주 3회 청구, 15회 까지만 가능)
- COM( M25와 엇갈리게 청구, 
            G,M 청구는 안됨 )
</t>
    <phoneticPr fontId="2" type="noConversion"/>
  </si>
  <si>
    <t>가퇴원</t>
    <phoneticPr fontId="2" type="noConversion"/>
  </si>
  <si>
    <t>산재집중재활</t>
    <phoneticPr fontId="2" type="noConversion"/>
  </si>
  <si>
    <t>비고</t>
    <phoneticPr fontId="2" type="noConversion"/>
  </si>
  <si>
    <t>담당원장님</t>
    <phoneticPr fontId="2" type="noConversion"/>
  </si>
  <si>
    <t>OT치료현황</t>
    <phoneticPr fontId="2" type="noConversion"/>
  </si>
  <si>
    <t>PT치료현황</t>
    <phoneticPr fontId="2" type="noConversion"/>
  </si>
  <si>
    <t>발병일</t>
    <phoneticPr fontId="2" type="noConversion"/>
  </si>
  <si>
    <t>입원일</t>
    <phoneticPr fontId="2" type="noConversion"/>
  </si>
  <si>
    <t>병실</t>
    <phoneticPr fontId="2" type="noConversion"/>
  </si>
  <si>
    <t>성함</t>
    <phoneticPr fontId="2" type="noConversion"/>
  </si>
  <si>
    <t>층별 산재환자 현황(5층)</t>
    <phoneticPr fontId="2" type="noConversion"/>
  </si>
  <si>
    <t>송옥경</t>
    <phoneticPr fontId="2" type="noConversion"/>
  </si>
  <si>
    <t>임종범</t>
    <phoneticPr fontId="2" type="noConversion"/>
  </si>
  <si>
    <t>C,CA</t>
    <phoneticPr fontId="2" type="noConversion"/>
  </si>
  <si>
    <t>유혜영4</t>
    <phoneticPr fontId="2" type="noConversion"/>
  </si>
  <si>
    <t>서승달</t>
    <phoneticPr fontId="2" type="noConversion"/>
  </si>
  <si>
    <t>김을언</t>
    <phoneticPr fontId="2" type="noConversion"/>
  </si>
  <si>
    <t>이난주</t>
    <phoneticPr fontId="2" type="noConversion"/>
  </si>
  <si>
    <t>김기연5</t>
    <phoneticPr fontId="2" type="noConversion"/>
  </si>
  <si>
    <t>지복례</t>
    <phoneticPr fontId="2" type="noConversion"/>
  </si>
  <si>
    <t>황종길</t>
    <phoneticPr fontId="2" type="noConversion"/>
  </si>
  <si>
    <t>김성자10</t>
    <phoneticPr fontId="2" type="noConversion"/>
  </si>
  <si>
    <t>한경애4</t>
    <phoneticPr fontId="2" type="noConversion"/>
  </si>
  <si>
    <t>김시철</t>
    <phoneticPr fontId="2" type="noConversion"/>
  </si>
  <si>
    <t>전동순</t>
    <phoneticPr fontId="2" type="noConversion"/>
  </si>
  <si>
    <t>C,CA</t>
  </si>
  <si>
    <t>신기순2</t>
    <phoneticPr fontId="2" type="noConversion"/>
  </si>
  <si>
    <t>유정순3</t>
    <phoneticPr fontId="2" type="noConversion"/>
  </si>
  <si>
    <t>N,M2,F</t>
    <phoneticPr fontId="2" type="noConversion"/>
  </si>
  <si>
    <t>C,A</t>
    <phoneticPr fontId="2" type="noConversion"/>
  </si>
  <si>
    <t>N2,M2,F</t>
    <phoneticPr fontId="2" type="noConversion"/>
  </si>
  <si>
    <t>특이사항</t>
    <phoneticPr fontId="2" type="noConversion"/>
  </si>
  <si>
    <t>특수치료오더</t>
    <phoneticPr fontId="2" type="noConversion"/>
  </si>
  <si>
    <t>OT오더</t>
    <phoneticPr fontId="2" type="noConversion"/>
  </si>
  <si>
    <t>PT오더</t>
    <phoneticPr fontId="2" type="noConversion"/>
  </si>
  <si>
    <t>2년</t>
    <phoneticPr fontId="2" type="noConversion"/>
  </si>
  <si>
    <t>1년</t>
    <phoneticPr fontId="2" type="noConversion"/>
  </si>
  <si>
    <t>6개월</t>
    <phoneticPr fontId="2" type="noConversion"/>
  </si>
  <si>
    <t>발병일</t>
    <phoneticPr fontId="2" type="noConversion"/>
  </si>
  <si>
    <t>이름</t>
    <phoneticPr fontId="2" type="noConversion"/>
  </si>
  <si>
    <t>번호</t>
    <phoneticPr fontId="2" type="noConversion"/>
  </si>
  <si>
    <t>전문</t>
    <phoneticPr fontId="2" type="noConversion"/>
  </si>
  <si>
    <t>구본창</t>
    <phoneticPr fontId="2" type="noConversion"/>
  </si>
  <si>
    <t>양병후</t>
    <phoneticPr fontId="2" type="noConversion"/>
  </si>
  <si>
    <t>임헌수2</t>
    <phoneticPr fontId="2" type="noConversion"/>
  </si>
  <si>
    <t>김진옥7</t>
    <phoneticPr fontId="2" type="noConversion"/>
  </si>
  <si>
    <t>신연애</t>
    <phoneticPr fontId="2" type="noConversion"/>
  </si>
  <si>
    <t>조정자</t>
    <phoneticPr fontId="2" type="noConversion"/>
  </si>
  <si>
    <t>권용길</t>
    <phoneticPr fontId="2" type="noConversion"/>
  </si>
  <si>
    <t>박성구</t>
    <phoneticPr fontId="2" type="noConversion"/>
  </si>
  <si>
    <t>박은용</t>
    <phoneticPr fontId="2" type="noConversion"/>
  </si>
  <si>
    <t>유혜영4</t>
    <phoneticPr fontId="2" type="noConversion"/>
  </si>
  <si>
    <t>김을언</t>
    <phoneticPr fontId="2" type="noConversion"/>
  </si>
  <si>
    <t>지복례</t>
    <phoneticPr fontId="2" type="noConversion"/>
  </si>
  <si>
    <t>서승달</t>
    <phoneticPr fontId="2" type="noConversion"/>
  </si>
  <si>
    <t>황종길</t>
    <phoneticPr fontId="2" type="noConversion"/>
  </si>
  <si>
    <t>전혜옥</t>
    <phoneticPr fontId="2" type="noConversion"/>
  </si>
  <si>
    <t>우학송</t>
    <phoneticPr fontId="2" type="noConversion"/>
  </si>
  <si>
    <t>김시철</t>
    <phoneticPr fontId="2" type="noConversion"/>
  </si>
  <si>
    <t>송갑헌</t>
    <phoneticPr fontId="2" type="noConversion"/>
  </si>
  <si>
    <t>신기순2</t>
    <phoneticPr fontId="2" type="noConversion"/>
  </si>
  <si>
    <t>송옥경</t>
    <phoneticPr fontId="2" type="noConversion"/>
  </si>
  <si>
    <t>임종범</t>
    <phoneticPr fontId="2" type="noConversion"/>
  </si>
  <si>
    <t>N2,M2,F2</t>
    <phoneticPr fontId="2" type="noConversion"/>
  </si>
  <si>
    <t>N,M2,F</t>
    <phoneticPr fontId="2" type="noConversion"/>
  </si>
  <si>
    <t>N2,M2,F</t>
    <phoneticPr fontId="2" type="noConversion"/>
  </si>
  <si>
    <t>N2,M2,F,Tt</t>
    <phoneticPr fontId="2" type="noConversion"/>
  </si>
  <si>
    <t xml:space="preserve">N2 </t>
    <phoneticPr fontId="2" type="noConversion"/>
  </si>
  <si>
    <t>C,A</t>
    <phoneticPr fontId="2" type="noConversion"/>
  </si>
  <si>
    <t>C,CA</t>
    <phoneticPr fontId="2" type="noConversion"/>
  </si>
  <si>
    <t>C,CA,D,V</t>
    <phoneticPr fontId="2" type="noConversion"/>
  </si>
  <si>
    <t>CA</t>
    <phoneticPr fontId="2" type="noConversion"/>
  </si>
  <si>
    <t>O7(D)</t>
    <phoneticPr fontId="2" type="noConversion"/>
  </si>
  <si>
    <t>N7(D)</t>
    <phoneticPr fontId="2" type="noConversion"/>
  </si>
  <si>
    <t>C,CA,D</t>
    <phoneticPr fontId="2" type="noConversion"/>
  </si>
  <si>
    <t>O7(A)</t>
    <phoneticPr fontId="2" type="noConversion"/>
  </si>
  <si>
    <t>통증</t>
    <phoneticPr fontId="2" type="noConversion"/>
  </si>
  <si>
    <t>N2,M2</t>
    <phoneticPr fontId="2" type="noConversion"/>
  </si>
  <si>
    <t>F HOLD</t>
    <phoneticPr fontId="2" type="noConversion"/>
  </si>
  <si>
    <t>M2,F HOLD</t>
    <phoneticPr fontId="2" type="noConversion"/>
  </si>
  <si>
    <t>H</t>
    <phoneticPr fontId="2" type="noConversion"/>
  </si>
  <si>
    <t>N7(D)</t>
    <phoneticPr fontId="2" type="noConversion"/>
  </si>
  <si>
    <t>N7</t>
    <phoneticPr fontId="2" type="noConversion"/>
  </si>
  <si>
    <t>비고</t>
    <phoneticPr fontId="2" type="noConversion"/>
  </si>
  <si>
    <t>통합기능평가료
청구기간 (90)</t>
    <phoneticPr fontId="2" type="noConversion"/>
  </si>
  <si>
    <t>회복기 종료일
(180)</t>
    <phoneticPr fontId="2" type="noConversion"/>
  </si>
  <si>
    <t>입원일</t>
    <phoneticPr fontId="2" type="noConversion"/>
  </si>
  <si>
    <t>발병/수술일</t>
    <phoneticPr fontId="2" type="noConversion"/>
  </si>
  <si>
    <t>환자명</t>
    <phoneticPr fontId="2" type="noConversion"/>
  </si>
  <si>
    <t>OT단위</t>
    <phoneticPr fontId="2" type="noConversion"/>
  </si>
  <si>
    <t>PT단위</t>
    <phoneticPr fontId="2" type="noConversion"/>
  </si>
  <si>
    <t>입원적용기간
(60)</t>
    <phoneticPr fontId="2" type="noConversion"/>
  </si>
  <si>
    <t>입원일기준
발병경과일수</t>
    <phoneticPr fontId="2" type="noConversion"/>
  </si>
  <si>
    <t>특수치료오더</t>
    <phoneticPr fontId="2" type="noConversion"/>
  </si>
  <si>
    <t>입원적용기간
(60)</t>
    <phoneticPr fontId="2" type="noConversion"/>
  </si>
  <si>
    <t>입원적용기간
(30)</t>
    <phoneticPr fontId="2" type="noConversion"/>
  </si>
  <si>
    <t>환자명</t>
    <phoneticPr fontId="2" type="noConversion"/>
  </si>
  <si>
    <t>특수치료오더</t>
    <phoneticPr fontId="2" type="noConversion"/>
  </si>
  <si>
    <t>입원적용기간
(270)</t>
    <phoneticPr fontId="2" type="noConversion"/>
  </si>
  <si>
    <t>발병/수술일</t>
    <phoneticPr fontId="2" type="noConversion"/>
  </si>
  <si>
    <t>중추신경계 270일(0)</t>
    <phoneticPr fontId="2" type="noConversion"/>
  </si>
  <si>
    <t>RS2, RA4</t>
    <phoneticPr fontId="2" type="noConversion"/>
  </si>
  <si>
    <t>RN2, RM4, MM4</t>
    <phoneticPr fontId="2" type="noConversion"/>
  </si>
  <si>
    <t>RN2, RM2, MM4</t>
    <phoneticPr fontId="2" type="noConversion"/>
  </si>
  <si>
    <t>입원적용기간
(180)</t>
    <phoneticPr fontId="2" type="noConversion"/>
  </si>
  <si>
    <t>회복기</t>
    <phoneticPr fontId="2" type="noConversion"/>
  </si>
  <si>
    <t>김기연5</t>
    <phoneticPr fontId="2" type="noConversion"/>
  </si>
  <si>
    <t>전동순</t>
    <phoneticPr fontId="2" type="noConversion"/>
  </si>
  <si>
    <t>유정순3</t>
    <phoneticPr fontId="2" type="noConversion"/>
  </si>
  <si>
    <t>권용길</t>
    <phoneticPr fontId="2" type="noConversion"/>
  </si>
  <si>
    <t>박성구</t>
    <phoneticPr fontId="2" type="noConversion"/>
  </si>
  <si>
    <t>지복례</t>
    <phoneticPr fontId="2" type="noConversion"/>
  </si>
  <si>
    <t>서승달</t>
    <phoneticPr fontId="2" type="noConversion"/>
  </si>
  <si>
    <t>송갑헌</t>
    <phoneticPr fontId="2" type="noConversion"/>
  </si>
  <si>
    <t>종료</t>
    <phoneticPr fontId="2" type="noConversion"/>
  </si>
  <si>
    <t>RA4</t>
    <phoneticPr fontId="2" type="noConversion"/>
  </si>
  <si>
    <t>서극원</t>
    <phoneticPr fontId="2" type="noConversion"/>
  </si>
  <si>
    <t>서재학</t>
    <phoneticPr fontId="2" type="noConversion"/>
  </si>
  <si>
    <t>N,M,F</t>
    <phoneticPr fontId="2" type="noConversion"/>
  </si>
  <si>
    <t>CA</t>
    <phoneticPr fontId="2" type="noConversion"/>
  </si>
  <si>
    <t>H</t>
    <phoneticPr fontId="2" type="noConversion"/>
  </si>
  <si>
    <t>RD4, RA4</t>
    <phoneticPr fontId="2" type="noConversion"/>
  </si>
  <si>
    <t>서극원</t>
    <phoneticPr fontId="2" type="noConversion"/>
  </si>
  <si>
    <t>M2 HOLD</t>
    <phoneticPr fontId="2" type="noConversion"/>
  </si>
  <si>
    <t>구본창</t>
    <phoneticPr fontId="2" type="noConversion"/>
  </si>
  <si>
    <t>N,M</t>
    <phoneticPr fontId="2" type="noConversion"/>
  </si>
  <si>
    <t>S</t>
    <phoneticPr fontId="2" type="noConversion"/>
  </si>
  <si>
    <t>RL2</t>
    <phoneticPr fontId="2" type="noConversion"/>
  </si>
  <si>
    <t>W(B)</t>
    <phoneticPr fontId="2" type="noConversion"/>
  </si>
  <si>
    <t>종료</t>
    <phoneticPr fontId="2" type="noConversion"/>
  </si>
  <si>
    <t>C HOLD</t>
    <phoneticPr fontId="2" type="noConversion"/>
  </si>
  <si>
    <t>CA,D,V</t>
    <phoneticPr fontId="2" type="noConversion"/>
  </si>
  <si>
    <t>N2,M2,F</t>
    <phoneticPr fontId="2" type="noConversion"/>
  </si>
  <si>
    <t>C,A</t>
    <phoneticPr fontId="2" type="noConversion"/>
  </si>
  <si>
    <t>N,M2,F</t>
    <phoneticPr fontId="2" type="noConversion"/>
  </si>
  <si>
    <t>RA6</t>
    <phoneticPr fontId="2" type="noConversion"/>
  </si>
  <si>
    <t>근골격계 - 고관절, 골반, 대퇴의 골절 및 치환술(0)</t>
    <phoneticPr fontId="2" type="noConversion"/>
  </si>
  <si>
    <t>우영희2</t>
    <phoneticPr fontId="2" type="noConversion"/>
  </si>
  <si>
    <t>우영희2</t>
    <phoneticPr fontId="2" type="noConversion"/>
  </si>
  <si>
    <t>정태두(비)</t>
    <phoneticPr fontId="2" type="noConversion"/>
  </si>
  <si>
    <t>정태두</t>
    <phoneticPr fontId="2" type="noConversion"/>
  </si>
  <si>
    <t>RG8, MM4</t>
    <phoneticPr fontId="2" type="noConversion"/>
  </si>
  <si>
    <t>이병희3</t>
    <phoneticPr fontId="2" type="noConversion"/>
  </si>
  <si>
    <t>이병희3</t>
    <phoneticPr fontId="2" type="noConversion"/>
  </si>
  <si>
    <t>W(B)</t>
    <phoneticPr fontId="2" type="noConversion"/>
  </si>
  <si>
    <t>*퇴원환자</t>
    <phoneticPr fontId="2" type="noConversion"/>
  </si>
  <si>
    <t>*전실환자</t>
    <phoneticPr fontId="2" type="noConversion"/>
  </si>
  <si>
    <t>*특이사항</t>
    <phoneticPr fontId="2" type="noConversion"/>
  </si>
  <si>
    <t>김정규2</t>
    <phoneticPr fontId="2" type="noConversion"/>
  </si>
  <si>
    <t>김정규2</t>
    <phoneticPr fontId="2" type="noConversion"/>
  </si>
  <si>
    <t>N2, M2, F2</t>
    <phoneticPr fontId="2" type="noConversion"/>
  </si>
  <si>
    <t>C, CA</t>
    <phoneticPr fontId="2" type="noConversion"/>
  </si>
  <si>
    <t>RN2, RM6, MM4</t>
    <phoneticPr fontId="2" type="noConversion"/>
  </si>
  <si>
    <t>QD(1)</t>
    <phoneticPr fontId="2" type="noConversion"/>
  </si>
  <si>
    <t>이팔원</t>
    <phoneticPr fontId="2" type="noConversion"/>
  </si>
  <si>
    <t>연현숙2</t>
    <phoneticPr fontId="2" type="noConversion"/>
  </si>
  <si>
    <t>연현숙2</t>
    <phoneticPr fontId="2" type="noConversion"/>
  </si>
  <si>
    <t>CA</t>
    <phoneticPr fontId="2" type="noConversion"/>
  </si>
  <si>
    <t>N, M2, F</t>
    <phoneticPr fontId="2" type="noConversion"/>
  </si>
  <si>
    <t>RD2, RA2</t>
    <phoneticPr fontId="2" type="noConversion"/>
  </si>
  <si>
    <t>M2 HOLD</t>
    <phoneticPr fontId="2" type="noConversion"/>
  </si>
  <si>
    <t>이난주</t>
    <phoneticPr fontId="2" type="noConversion"/>
  </si>
  <si>
    <t>연장</t>
    <phoneticPr fontId="2" type="noConversion"/>
  </si>
  <si>
    <t>연장</t>
    <phoneticPr fontId="2" type="noConversion"/>
  </si>
  <si>
    <t>김성자10</t>
    <phoneticPr fontId="2" type="noConversion"/>
  </si>
  <si>
    <t>김명복</t>
    <phoneticPr fontId="2" type="noConversion"/>
  </si>
  <si>
    <t>서재학</t>
    <phoneticPr fontId="2" type="noConversion"/>
  </si>
  <si>
    <t>김명복</t>
    <phoneticPr fontId="2" type="noConversion"/>
  </si>
  <si>
    <t>N2, M2, F2</t>
    <phoneticPr fontId="2" type="noConversion"/>
  </si>
  <si>
    <t>C,CA,전산화</t>
    <phoneticPr fontId="2" type="noConversion"/>
  </si>
  <si>
    <t>RD2, RA4</t>
    <phoneticPr fontId="2" type="noConversion"/>
  </si>
  <si>
    <t>김약산</t>
    <phoneticPr fontId="2" type="noConversion"/>
  </si>
  <si>
    <t>김약산</t>
    <phoneticPr fontId="2" type="noConversion"/>
  </si>
  <si>
    <t>박재춘</t>
    <phoneticPr fontId="2" type="noConversion"/>
  </si>
  <si>
    <t>O7(D)</t>
    <phoneticPr fontId="2" type="noConversion"/>
  </si>
  <si>
    <t>윤귀연</t>
    <phoneticPr fontId="2" type="noConversion"/>
  </si>
  <si>
    <t>RG6, MM4</t>
    <phoneticPr fontId="2" type="noConversion"/>
  </si>
  <si>
    <t>L(자보)</t>
    <phoneticPr fontId="2" type="noConversion"/>
  </si>
  <si>
    <t>김범중</t>
    <phoneticPr fontId="2" type="noConversion"/>
  </si>
  <si>
    <t>505호</t>
    <phoneticPr fontId="2" type="noConversion"/>
  </si>
  <si>
    <t>2025.12.09</t>
    <phoneticPr fontId="2" type="noConversion"/>
  </si>
  <si>
    <t>2025.10.30</t>
    <phoneticPr fontId="2" type="noConversion"/>
  </si>
  <si>
    <t>윤귀연(비)</t>
    <phoneticPr fontId="2" type="noConversion"/>
  </si>
  <si>
    <t>F2 HOLD</t>
    <phoneticPr fontId="2" type="noConversion"/>
  </si>
  <si>
    <t>N2, M2</t>
    <phoneticPr fontId="2" type="noConversion"/>
  </si>
  <si>
    <t>김점자</t>
    <phoneticPr fontId="2" type="noConversion"/>
  </si>
  <si>
    <t>전세웅</t>
    <phoneticPr fontId="2" type="noConversion"/>
  </si>
  <si>
    <t>박정길</t>
    <phoneticPr fontId="2" type="noConversion"/>
  </si>
  <si>
    <t>김점자</t>
    <phoneticPr fontId="2" type="noConversion"/>
  </si>
  <si>
    <t>RN2, RM8, MM4</t>
    <phoneticPr fontId="2" type="noConversion"/>
  </si>
  <si>
    <t>RD2</t>
    <phoneticPr fontId="2" type="noConversion"/>
  </si>
  <si>
    <t>RG4, MM4</t>
    <phoneticPr fontId="2" type="noConversion"/>
  </si>
  <si>
    <t>RA8</t>
    <phoneticPr fontId="2" type="noConversion"/>
  </si>
  <si>
    <t>김만태</t>
    <phoneticPr fontId="2" type="noConversion"/>
  </si>
  <si>
    <t>N2, M2, F</t>
    <phoneticPr fontId="2" type="noConversion"/>
  </si>
  <si>
    <t>RA2, RS2</t>
    <phoneticPr fontId="2" type="noConversion"/>
  </si>
  <si>
    <t>김종분</t>
    <phoneticPr fontId="2" type="noConversion"/>
  </si>
  <si>
    <t>김종분</t>
    <phoneticPr fontId="2" type="noConversion"/>
  </si>
  <si>
    <t>유순자3</t>
    <phoneticPr fontId="2" type="noConversion"/>
  </si>
  <si>
    <t>유순자3(비)</t>
    <phoneticPr fontId="2" type="noConversion"/>
  </si>
  <si>
    <t>안계동</t>
    <phoneticPr fontId="2" type="noConversion"/>
  </si>
  <si>
    <t>나머지 HOLD , 월목 투석</t>
    <phoneticPr fontId="2" type="noConversion"/>
  </si>
  <si>
    <t>M15, 통증BID,COM</t>
    <phoneticPr fontId="2" type="noConversion"/>
  </si>
  <si>
    <t>신정욱</t>
    <phoneticPr fontId="2" type="noConversion"/>
  </si>
  <si>
    <t>신정욱(비)</t>
    <phoneticPr fontId="2" type="noConversion"/>
  </si>
  <si>
    <t>W(B),P(B)</t>
    <phoneticPr fontId="2" type="noConversion"/>
  </si>
  <si>
    <t>최희규</t>
    <phoneticPr fontId="2" type="noConversion"/>
  </si>
  <si>
    <t>홍운우</t>
    <phoneticPr fontId="2" type="noConversion"/>
  </si>
  <si>
    <t>김택중</t>
    <phoneticPr fontId="2" type="noConversion"/>
  </si>
  <si>
    <t>CA</t>
    <phoneticPr fontId="2" type="noConversion"/>
  </si>
  <si>
    <t>홍운우</t>
    <phoneticPr fontId="2" type="noConversion"/>
  </si>
  <si>
    <t>전병현원장님</t>
    <phoneticPr fontId="2" type="noConversion"/>
  </si>
  <si>
    <t>COM(0)</t>
    <phoneticPr fontId="2" type="noConversion"/>
  </si>
  <si>
    <t>고성수</t>
    <phoneticPr fontId="2" type="noConversion"/>
  </si>
  <si>
    <t>고성수</t>
    <phoneticPr fontId="2" type="noConversion"/>
  </si>
  <si>
    <t>근골격계 - 고관절, 골반, 대퇴의 골절 및 치환술 60일 (2) / 복합골절(0)</t>
    <phoneticPr fontId="2" type="noConversion"/>
  </si>
  <si>
    <t>506호</t>
    <phoneticPr fontId="2" type="noConversion"/>
  </si>
  <si>
    <t>2025.12.04</t>
    <phoneticPr fontId="2" type="noConversion"/>
  </si>
  <si>
    <t>C, CA, D, V</t>
    <phoneticPr fontId="2" type="noConversion"/>
  </si>
  <si>
    <t>N2, F2</t>
    <phoneticPr fontId="2" type="noConversion"/>
  </si>
  <si>
    <t>M2 HOLD</t>
    <phoneticPr fontId="2" type="noConversion"/>
  </si>
  <si>
    <t>통증BID, 산재재활하지2</t>
    <phoneticPr fontId="2" type="noConversion"/>
  </si>
  <si>
    <t>김기연5</t>
    <phoneticPr fontId="2" type="noConversion"/>
  </si>
  <si>
    <t>연장</t>
    <phoneticPr fontId="2" type="noConversion"/>
  </si>
  <si>
    <t>회복기 종료 90일 미만 대상자(13)</t>
    <phoneticPr fontId="2" type="noConversion"/>
  </si>
  <si>
    <t>L7, W(A)</t>
    <phoneticPr fontId="2" type="noConversion"/>
  </si>
  <si>
    <t>김남순8</t>
    <phoneticPr fontId="2" type="noConversion"/>
  </si>
  <si>
    <t>BID(28)</t>
    <phoneticPr fontId="2" type="noConversion"/>
  </si>
  <si>
    <t>김남순8</t>
    <phoneticPr fontId="2" type="noConversion"/>
  </si>
  <si>
    <t>RA2</t>
    <phoneticPr fontId="2" type="noConversion"/>
  </si>
  <si>
    <t>근골격계 - 하지부위 절단(0) / 비사용증후군(4)</t>
    <phoneticPr fontId="2" type="noConversion"/>
  </si>
  <si>
    <t>연청수</t>
    <phoneticPr fontId="2" type="noConversion"/>
  </si>
  <si>
    <t>오더없음(0)</t>
    <phoneticPr fontId="2" type="noConversion"/>
  </si>
  <si>
    <t>회복기재활(19)</t>
    <phoneticPr fontId="2" type="noConversion"/>
  </si>
  <si>
    <t>연청수</t>
    <phoneticPr fontId="2" type="noConversion"/>
  </si>
  <si>
    <t>중추신경계(14)</t>
    <phoneticPr fontId="2" type="noConversion"/>
  </si>
  <si>
    <t>501호</t>
    <phoneticPr fontId="2" type="noConversion"/>
  </si>
  <si>
    <t>2025.12.24</t>
    <phoneticPr fontId="2" type="noConversion"/>
  </si>
  <si>
    <t>2025.10.24</t>
    <phoneticPr fontId="2" type="noConversion"/>
  </si>
  <si>
    <t>RP(D)</t>
    <phoneticPr fontId="2" type="noConversion"/>
  </si>
  <si>
    <t>25.12.15-26.01.30</t>
    <phoneticPr fontId="2" type="noConversion"/>
  </si>
  <si>
    <t>25.12.09-26.01.31</t>
    <phoneticPr fontId="2" type="noConversion"/>
  </si>
  <si>
    <t>26.01.05-26.04.04</t>
    <phoneticPr fontId="2" type="noConversion"/>
  </si>
  <si>
    <t>N2, F2</t>
  </si>
  <si>
    <t>1/5 권수자님, 이문찬2님, 최희규님
1/6 김춘선님, 임성환님</t>
    <phoneticPr fontId="2" type="noConversion"/>
  </si>
  <si>
    <t>1월 7일</t>
    <phoneticPr fontId="2" type="noConversion"/>
  </si>
  <si>
    <t xml:space="preserve">퇴) </t>
    <phoneticPr fontId="2" type="noConversion"/>
  </si>
  <si>
    <t>손경자2</t>
    <phoneticPr fontId="2" type="noConversion"/>
  </si>
  <si>
    <t>조민수2</t>
    <phoneticPr fontId="2" type="noConversion"/>
  </si>
  <si>
    <t>윤성원3</t>
    <phoneticPr fontId="2" type="noConversion"/>
  </si>
  <si>
    <t>산재전문(3)</t>
    <phoneticPr fontId="2" type="noConversion"/>
  </si>
  <si>
    <t>통증(1)</t>
    <phoneticPr fontId="2" type="noConversion"/>
  </si>
  <si>
    <t>Ma(3)</t>
    <phoneticPr fontId="2" type="noConversion"/>
  </si>
  <si>
    <t>손경자2</t>
    <phoneticPr fontId="2" type="noConversion"/>
  </si>
  <si>
    <t>조민수2</t>
    <phoneticPr fontId="2" type="noConversion"/>
  </si>
  <si>
    <t>통증BID</t>
    <phoneticPr fontId="2" type="noConversion"/>
  </si>
  <si>
    <t>M7X2, 통증BID</t>
    <phoneticPr fontId="2" type="noConversion"/>
  </si>
  <si>
    <t>윤성원3</t>
    <phoneticPr fontId="2" type="noConversion"/>
  </si>
  <si>
    <t>N,F,N(S)</t>
    <phoneticPr fontId="2" type="noConversion"/>
  </si>
  <si>
    <t>전세웅</t>
    <phoneticPr fontId="2" type="noConversion"/>
  </si>
  <si>
    <t>C,CA, D, V</t>
    <phoneticPr fontId="2" type="noConversion"/>
  </si>
  <si>
    <t>2026.1.7 기준</t>
    <phoneticPr fontId="2" type="noConversion"/>
  </si>
  <si>
    <t>*윤귀연님, 윤성원3님 화,목,토 투석
*전세웅님 외박(토요일치료X / 회복기→전문재활 전환)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</si>
</sst>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\T\O\T\A\L\ #"/>
    <numFmt numFmtId="177" formatCode="&quot;입&quot;\)\ #"/>
    <numFmt numFmtId="178" formatCode="&quot;퇴&quot;\)\ #"/>
    <numFmt numFmtId="179" formatCode="mm&quot;월&quot;\ dd&quot;일&quot;"/>
  </numFmts>
  <fonts count="15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3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3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0" fillId="0" borderId="0"/>
  </cellStyleXfs>
  <cellXfs count="1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176" fontId="0" fillId="0" borderId="0" xfId="0" applyNumberFormat="1" applyAlignment="1">
      <alignment horizontal="left" vertical="center"/>
    </xf>
    <xf numFmtId="177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78" fontId="0" fillId="0" borderId="0" xfId="0" applyNumberFormat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>
      <alignment vertical="center"/>
    </xf>
    <xf numFmtId="14" fontId="6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179" fontId="6" fillId="0" borderId="0" xfId="0" applyNumberFormat="1" applyFont="1">
      <alignment vertical="center"/>
    </xf>
    <xf numFmtId="0" fontId="7" fillId="0" borderId="2" xfId="0" applyFont="1" applyBorder="1" applyAlignment="1">
      <alignment horizontal="center" vertical="center" wrapText="1"/>
    </xf>
    <xf numFmtId="0" fontId="0" fillId="8" borderId="0" xfId="0" applyFill="1">
      <alignment vertical="center"/>
    </xf>
    <xf numFmtId="0" fontId="0" fillId="7" borderId="0" xfId="0" applyFill="1">
      <alignment vertical="center"/>
    </xf>
    <xf numFmtId="0" fontId="1" fillId="0" borderId="9" xfId="0" applyFont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4" xfId="0" applyBorder="1">
      <alignment vertical="center"/>
    </xf>
    <xf numFmtId="0" fontId="8" fillId="9" borderId="2" xfId="0" applyFont="1" applyFill="1" applyBorder="1" applyAlignment="1">
      <alignment horizontal="center" vertical="center"/>
    </xf>
    <xf numFmtId="14" fontId="6" fillId="9" borderId="2" xfId="0" applyNumberFormat="1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13" fillId="0" borderId="2" xfId="0" applyFont="1" applyBorder="1">
      <alignment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3" fillId="0" borderId="2" xfId="0" applyFont="1" applyBorder="1" applyAlignment="1">
      <alignment horizontal="center" vertical="center"/>
    </xf>
    <xf numFmtId="14" fontId="6" fillId="5" borderId="2" xfId="0" applyNumberFormat="1" applyFont="1" applyFill="1" applyBorder="1" applyAlignment="1">
      <alignment horizontal="center" vertical="center"/>
    </xf>
    <xf numFmtId="179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4" fontId="6" fillId="0" borderId="6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14" fontId="6" fillId="0" borderId="25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5" fillId="7" borderId="2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5" fillId="7" borderId="27" xfId="0" applyFont="1" applyFill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4" fontId="6" fillId="0" borderId="2" xfId="0" applyNumberFormat="1" applyFont="1" applyBorder="1">
      <alignment vertical="center"/>
    </xf>
    <xf numFmtId="0" fontId="0" fillId="8" borderId="2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4" fillId="0" borderId="19" xfId="0" applyFont="1" applyBorder="1" applyAlignment="1">
      <alignment horizontal="left" vertical="center" wrapText="1" indent="1"/>
    </xf>
    <xf numFmtId="0" fontId="14" fillId="0" borderId="18" xfId="0" applyFont="1" applyBorder="1" applyAlignment="1">
      <alignment horizontal="left" vertical="center" wrapText="1" indent="1"/>
    </xf>
    <xf numFmtId="0" fontId="14" fillId="0" borderId="17" xfId="0" applyFont="1" applyBorder="1" applyAlignment="1">
      <alignment horizontal="left" vertical="center" wrapText="1" indent="1"/>
    </xf>
    <xf numFmtId="0" fontId="0" fillId="0" borderId="20" xfId="0" applyBorder="1" applyAlignment="1">
      <alignment horizontal="left" vertical="center" wrapText="1" indent="1"/>
    </xf>
    <xf numFmtId="0" fontId="0" fillId="0" borderId="21" xfId="0" applyBorder="1" applyAlignment="1">
      <alignment horizontal="left" vertical="center" indent="1"/>
    </xf>
    <xf numFmtId="0" fontId="0" fillId="0" borderId="22" xfId="0" applyBorder="1" applyAlignment="1">
      <alignment horizontal="left" vertical="center" indent="1"/>
    </xf>
    <xf numFmtId="0" fontId="0" fillId="0" borderId="23" xfId="0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0" borderId="24" xfId="0" applyBorder="1" applyAlignment="1">
      <alignment horizontal="left" vertical="center" indent="1"/>
    </xf>
    <xf numFmtId="0" fontId="0" fillId="0" borderId="8" xfId="0" applyBorder="1" applyAlignment="1">
      <alignment horizontal="left" vertical="center" indent="1"/>
    </xf>
    <xf numFmtId="0" fontId="0" fillId="0" borderId="14" xfId="0" applyBorder="1" applyAlignment="1">
      <alignment horizontal="left" vertical="center" indent="1"/>
    </xf>
    <xf numFmtId="0" fontId="0" fillId="0" borderId="7" xfId="0" applyBorder="1" applyAlignment="1">
      <alignment horizontal="left" vertical="center" indent="1"/>
    </xf>
    <xf numFmtId="0" fontId="1" fillId="10" borderId="6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6" fillId="7" borderId="16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15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테마1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S140"/>
  <sheetViews>
    <sheetView tabSelected="1" zoomScaleNormal="100" workbookViewId="0">
      <pane ySplit="2" topLeftCell="A12" activePane="bottomLeft" state="frozen"/>
      <selection activeCell="I95" sqref="I95"/>
      <selection pane="bottomLeft" activeCell="U34" sqref="U34"/>
    </sheetView>
  </sheetViews>
  <sheetFormatPr defaultRowHeight="16.5" x14ac:dyDescent="0.3"/>
  <cols>
    <col min="4" max="4" width="10.5" customWidth="1"/>
    <col min="11" max="11" width="10.375" customWidth="1"/>
    <col min="12" max="12" width="10" customWidth="1"/>
  </cols>
  <sheetData>
    <row r="3" spans="3:19" ht="17.25" thickBot="1" x14ac:dyDescent="0.35"/>
    <row r="4" spans="3:19" ht="17.25" thickBot="1" x14ac:dyDescent="0.35">
      <c r="D4" s="5" t="s">
        <v>275</v>
      </c>
    </row>
    <row r="5" spans="3:19" x14ac:dyDescent="0.3">
      <c r="D5" s="6">
        <v>55</v>
      </c>
      <c r="E5" s="7">
        <v>3</v>
      </c>
      <c r="F5" s="1" t="s">
        <v>277</v>
      </c>
      <c r="G5" s="1" t="s">
        <v>278</v>
      </c>
      <c r="H5" s="1" t="s">
        <v>279</v>
      </c>
      <c r="L5" s="8"/>
    </row>
    <row r="6" spans="3:19" x14ac:dyDescent="0.3">
      <c r="E6" s="7" t="s">
        <v>276</v>
      </c>
      <c r="F6" s="1"/>
      <c r="G6" s="1"/>
    </row>
    <row r="7" spans="3:19" x14ac:dyDescent="0.3">
      <c r="E7" s="9"/>
      <c r="G7" s="8"/>
    </row>
    <row r="9" spans="3:19" ht="17.25" thickBot="1" x14ac:dyDescent="0.35">
      <c r="D9" s="10" t="s">
        <v>3</v>
      </c>
      <c r="E9" s="11" t="s">
        <v>4</v>
      </c>
      <c r="F9" s="12" t="s">
        <v>5</v>
      </c>
      <c r="G9" s="13" t="s">
        <v>6</v>
      </c>
      <c r="H9" s="2" t="s">
        <v>7</v>
      </c>
      <c r="I9" s="14" t="s">
        <v>8</v>
      </c>
    </row>
    <row r="10" spans="3:19" ht="17.25" thickBot="1" x14ac:dyDescent="0.35">
      <c r="D10" s="5" t="s">
        <v>9</v>
      </c>
      <c r="F10" s="15" t="s">
        <v>10</v>
      </c>
      <c r="I10" s="8"/>
      <c r="J10" s="8"/>
      <c r="K10" s="8"/>
      <c r="L10" s="8"/>
    </row>
    <row r="11" spans="3:19" ht="17.25" thickBot="1" x14ac:dyDescent="0.35">
      <c r="D11" s="16" t="s">
        <v>257</v>
      </c>
      <c r="E11" s="16" t="s">
        <v>183</v>
      </c>
      <c r="F11" s="16" t="s">
        <v>282</v>
      </c>
      <c r="G11" s="16" t="s">
        <v>242</v>
      </c>
      <c r="H11" s="16" t="s">
        <v>281</v>
      </c>
      <c r="I11" s="40" t="s">
        <v>280</v>
      </c>
      <c r="J11" s="76" t="s">
        <v>263</v>
      </c>
      <c r="K11" s="77"/>
      <c r="L11" s="16" t="s">
        <v>262</v>
      </c>
    </row>
    <row r="12" spans="3:19" ht="17.25" thickBot="1" x14ac:dyDescent="0.35">
      <c r="C12">
        <v>1</v>
      </c>
      <c r="D12" s="1" t="s">
        <v>22</v>
      </c>
      <c r="E12" s="1" t="s">
        <v>154</v>
      </c>
      <c r="F12" s="1" t="s">
        <v>226</v>
      </c>
      <c r="G12" s="1"/>
      <c r="H12" s="10" t="s">
        <v>278</v>
      </c>
      <c r="I12" s="1" t="s">
        <v>208</v>
      </c>
      <c r="J12" s="1"/>
      <c r="K12" s="17" t="s">
        <v>11</v>
      </c>
      <c r="L12" s="17" t="s">
        <v>12</v>
      </c>
      <c r="O12" s="78" t="s">
        <v>175</v>
      </c>
      <c r="P12" s="79"/>
      <c r="Q12" s="79"/>
      <c r="R12" s="79"/>
      <c r="S12" s="80"/>
    </row>
    <row r="13" spans="3:19" x14ac:dyDescent="0.3">
      <c r="C13">
        <v>2</v>
      </c>
      <c r="D13" s="1" t="s">
        <v>25</v>
      </c>
      <c r="E13" s="1"/>
      <c r="F13" s="1" t="s">
        <v>256</v>
      </c>
      <c r="I13" s="1" t="s">
        <v>203</v>
      </c>
      <c r="J13" s="4">
        <v>1</v>
      </c>
      <c r="K13" s="1" t="s">
        <v>48</v>
      </c>
      <c r="L13" s="8"/>
      <c r="O13" s="81" t="s">
        <v>274</v>
      </c>
      <c r="P13" s="82"/>
      <c r="Q13" s="82"/>
      <c r="R13" s="82"/>
      <c r="S13" s="83"/>
    </row>
    <row r="14" spans="3:19" x14ac:dyDescent="0.3">
      <c r="C14">
        <v>3</v>
      </c>
      <c r="D14" s="1" t="s">
        <v>23</v>
      </c>
      <c r="F14" s="10" t="s">
        <v>277</v>
      </c>
      <c r="I14" s="1" t="s">
        <v>237</v>
      </c>
      <c r="J14" s="4">
        <v>2</v>
      </c>
      <c r="K14" s="1" t="s">
        <v>52</v>
      </c>
      <c r="L14" s="17" t="s">
        <v>14</v>
      </c>
      <c r="O14" s="84"/>
      <c r="P14" s="85"/>
      <c r="Q14" s="85"/>
      <c r="R14" s="85"/>
      <c r="S14" s="86"/>
    </row>
    <row r="15" spans="3:19" x14ac:dyDescent="0.3">
      <c r="C15">
        <v>4</v>
      </c>
      <c r="D15" s="1" t="s">
        <v>24</v>
      </c>
      <c r="J15" s="4">
        <v>3</v>
      </c>
      <c r="K15" s="1" t="s">
        <v>54</v>
      </c>
      <c r="L15" s="1"/>
      <c r="O15" s="84"/>
      <c r="P15" s="85"/>
      <c r="Q15" s="85"/>
      <c r="R15" s="85"/>
      <c r="S15" s="86"/>
    </row>
    <row r="16" spans="3:19" x14ac:dyDescent="0.3">
      <c r="C16">
        <v>5</v>
      </c>
      <c r="D16" s="1" t="s">
        <v>26</v>
      </c>
      <c r="J16" s="4">
        <v>4</v>
      </c>
      <c r="K16" s="1" t="s">
        <v>57</v>
      </c>
      <c r="L16" s="17" t="s">
        <v>15</v>
      </c>
      <c r="O16" s="84"/>
      <c r="P16" s="85"/>
      <c r="Q16" s="85"/>
      <c r="R16" s="85"/>
      <c r="S16" s="86"/>
    </row>
    <row r="17" spans="1:19" x14ac:dyDescent="0.3">
      <c r="C17">
        <v>6</v>
      </c>
      <c r="D17" s="1" t="s">
        <v>13</v>
      </c>
      <c r="J17" s="4">
        <v>5</v>
      </c>
      <c r="K17" s="1" t="s">
        <v>152</v>
      </c>
      <c r="O17" s="84"/>
      <c r="P17" s="85"/>
      <c r="Q17" s="85"/>
      <c r="R17" s="85"/>
      <c r="S17" s="86"/>
    </row>
    <row r="18" spans="1:19" x14ac:dyDescent="0.3">
      <c r="C18">
        <v>7</v>
      </c>
      <c r="D18" s="19" t="s">
        <v>28</v>
      </c>
      <c r="J18" s="4">
        <v>6</v>
      </c>
      <c r="K18" s="1" t="s">
        <v>168</v>
      </c>
      <c r="L18" s="1"/>
      <c r="O18" s="84"/>
      <c r="P18" s="85"/>
      <c r="Q18" s="85"/>
      <c r="R18" s="85"/>
      <c r="S18" s="86"/>
    </row>
    <row r="19" spans="1:19" x14ac:dyDescent="0.3">
      <c r="C19">
        <v>8</v>
      </c>
      <c r="D19" s="1" t="s">
        <v>18</v>
      </c>
      <c r="J19" s="4">
        <v>7</v>
      </c>
      <c r="K19" s="1" t="s">
        <v>172</v>
      </c>
      <c r="L19" s="18" t="s">
        <v>16</v>
      </c>
      <c r="O19" s="84"/>
      <c r="P19" s="85"/>
      <c r="Q19" s="85"/>
      <c r="R19" s="85"/>
      <c r="S19" s="86"/>
    </row>
    <row r="20" spans="1:19" ht="17.25" thickBot="1" x14ac:dyDescent="0.35">
      <c r="C20">
        <v>9</v>
      </c>
      <c r="D20" s="1" t="s">
        <v>44</v>
      </c>
      <c r="J20" s="4">
        <v>8</v>
      </c>
      <c r="K20" s="1" t="s">
        <v>184</v>
      </c>
      <c r="O20" s="87"/>
      <c r="P20" s="88"/>
      <c r="Q20" s="88"/>
      <c r="R20" s="88"/>
      <c r="S20" s="89"/>
    </row>
    <row r="21" spans="1:19" ht="17.25" thickBot="1" x14ac:dyDescent="0.35">
      <c r="C21">
        <v>10</v>
      </c>
      <c r="D21" s="1" t="s">
        <v>46</v>
      </c>
      <c r="J21" s="4">
        <v>9</v>
      </c>
      <c r="K21" s="1" t="s">
        <v>217</v>
      </c>
    </row>
    <row r="22" spans="1:19" ht="17.25" thickBot="1" x14ac:dyDescent="0.35">
      <c r="C22">
        <v>11</v>
      </c>
      <c r="D22" s="1" t="s">
        <v>49</v>
      </c>
      <c r="J22" s="4">
        <v>10</v>
      </c>
      <c r="K22" s="1" t="s">
        <v>223</v>
      </c>
      <c r="L22" s="18" t="s">
        <v>17</v>
      </c>
      <c r="O22" s="78" t="s">
        <v>176</v>
      </c>
      <c r="P22" s="79"/>
      <c r="Q22" s="79"/>
      <c r="R22" s="79"/>
      <c r="S22" s="80"/>
    </row>
    <row r="23" spans="1:19" x14ac:dyDescent="0.3">
      <c r="C23">
        <v>12</v>
      </c>
      <c r="D23" s="1" t="s">
        <v>50</v>
      </c>
      <c r="J23" s="4">
        <v>11</v>
      </c>
      <c r="K23" s="1" t="s">
        <v>230</v>
      </c>
      <c r="O23" s="81"/>
      <c r="P23" s="82"/>
      <c r="Q23" s="82"/>
      <c r="R23" s="82"/>
      <c r="S23" s="83"/>
    </row>
    <row r="24" spans="1:19" x14ac:dyDescent="0.3">
      <c r="C24">
        <v>13</v>
      </c>
      <c r="D24" s="1" t="s">
        <v>19</v>
      </c>
      <c r="J24" s="4">
        <v>12</v>
      </c>
      <c r="K24" s="10" t="s">
        <v>261</v>
      </c>
      <c r="O24" s="84"/>
      <c r="P24" s="85"/>
      <c r="Q24" s="85"/>
      <c r="R24" s="85"/>
      <c r="S24" s="86"/>
    </row>
    <row r="25" spans="1:19" x14ac:dyDescent="0.3">
      <c r="C25">
        <v>14</v>
      </c>
      <c r="D25" s="1" t="s">
        <v>53</v>
      </c>
      <c r="J25" s="4">
        <v>13</v>
      </c>
      <c r="K25" s="10" t="s">
        <v>279</v>
      </c>
      <c r="O25" s="84"/>
      <c r="P25" s="85"/>
      <c r="Q25" s="85"/>
      <c r="R25" s="85"/>
      <c r="S25" s="86"/>
    </row>
    <row r="26" spans="1:19" ht="15.75" customHeight="1" x14ac:dyDescent="0.3">
      <c r="C26">
        <v>15</v>
      </c>
      <c r="D26" s="1" t="s">
        <v>20</v>
      </c>
      <c r="J26" s="4"/>
      <c r="O26" s="84"/>
      <c r="P26" s="85"/>
      <c r="Q26" s="85"/>
      <c r="R26" s="85"/>
      <c r="S26" s="86"/>
    </row>
    <row r="27" spans="1:19" x14ac:dyDescent="0.3">
      <c r="A27" t="s">
        <v>0</v>
      </c>
      <c r="C27">
        <v>16</v>
      </c>
      <c r="D27" s="1" t="s">
        <v>56</v>
      </c>
      <c r="O27" s="84"/>
      <c r="P27" s="85"/>
      <c r="Q27" s="85"/>
      <c r="R27" s="85"/>
      <c r="S27" s="86"/>
    </row>
    <row r="28" spans="1:19" x14ac:dyDescent="0.3">
      <c r="C28">
        <v>17</v>
      </c>
      <c r="D28" s="1" t="s">
        <v>45</v>
      </c>
      <c r="O28" s="84"/>
      <c r="P28" s="85"/>
      <c r="Q28" s="85"/>
      <c r="R28" s="85"/>
      <c r="S28" s="86"/>
    </row>
    <row r="29" spans="1:19" x14ac:dyDescent="0.3">
      <c r="C29">
        <v>18</v>
      </c>
      <c r="D29" s="1" t="s">
        <v>42</v>
      </c>
      <c r="K29" s="17" t="s">
        <v>12</v>
      </c>
      <c r="O29" s="84"/>
      <c r="P29" s="85"/>
      <c r="Q29" s="85"/>
      <c r="R29" s="85"/>
      <c r="S29" s="86"/>
    </row>
    <row r="30" spans="1:19" ht="17.25" thickBot="1" x14ac:dyDescent="0.35">
      <c r="C30">
        <v>19</v>
      </c>
      <c r="D30" s="1" t="s">
        <v>179</v>
      </c>
      <c r="J30" s="4">
        <v>1</v>
      </c>
      <c r="K30" s="1" t="s">
        <v>169</v>
      </c>
      <c r="O30" s="87"/>
      <c r="P30" s="88"/>
      <c r="Q30" s="88"/>
      <c r="R30" s="88"/>
      <c r="S30" s="89"/>
    </row>
    <row r="31" spans="1:19" ht="17.25" thickBot="1" x14ac:dyDescent="0.35">
      <c r="C31">
        <v>20</v>
      </c>
      <c r="D31" s="1" t="s">
        <v>185</v>
      </c>
      <c r="J31" s="4">
        <v>2</v>
      </c>
      <c r="K31" s="1" t="s">
        <v>212</v>
      </c>
    </row>
    <row r="32" spans="1:19" ht="17.25" thickBot="1" x14ac:dyDescent="0.35">
      <c r="C32">
        <v>21</v>
      </c>
      <c r="D32" s="1" t="s">
        <v>195</v>
      </c>
      <c r="J32" s="4">
        <v>3</v>
      </c>
      <c r="K32" s="1" t="s">
        <v>215</v>
      </c>
      <c r="O32" s="78" t="s">
        <v>177</v>
      </c>
      <c r="P32" s="79"/>
      <c r="Q32" s="79"/>
      <c r="R32" s="79"/>
      <c r="S32" s="80"/>
    </row>
    <row r="33" spans="3:19" x14ac:dyDescent="0.3">
      <c r="C33">
        <v>22</v>
      </c>
      <c r="D33" s="1" t="s">
        <v>196</v>
      </c>
      <c r="J33" s="4">
        <v>4</v>
      </c>
      <c r="K33" s="1" t="s">
        <v>229</v>
      </c>
      <c r="O33" s="81" t="s">
        <v>292</v>
      </c>
      <c r="P33" s="82"/>
      <c r="Q33" s="82"/>
      <c r="R33" s="82"/>
      <c r="S33" s="83"/>
    </row>
    <row r="34" spans="3:19" x14ac:dyDescent="0.3">
      <c r="C34">
        <v>23</v>
      </c>
      <c r="D34" s="1" t="s">
        <v>201</v>
      </c>
      <c r="J34" s="4">
        <v>5</v>
      </c>
      <c r="K34" s="1" t="s">
        <v>234</v>
      </c>
      <c r="O34" s="84"/>
      <c r="P34" s="85"/>
      <c r="Q34" s="85"/>
      <c r="R34" s="85"/>
      <c r="S34" s="86"/>
    </row>
    <row r="35" spans="3:19" x14ac:dyDescent="0.3">
      <c r="C35">
        <v>24</v>
      </c>
      <c r="D35" s="1" t="s">
        <v>86</v>
      </c>
      <c r="J35" s="4">
        <v>6</v>
      </c>
      <c r="K35" s="1" t="s">
        <v>243</v>
      </c>
      <c r="O35" s="84"/>
      <c r="P35" s="85"/>
      <c r="Q35" s="85"/>
      <c r="R35" s="85"/>
      <c r="S35" s="86"/>
    </row>
    <row r="36" spans="3:19" x14ac:dyDescent="0.3">
      <c r="C36">
        <v>25</v>
      </c>
      <c r="D36" s="1" t="s">
        <v>51</v>
      </c>
      <c r="O36" s="84"/>
      <c r="P36" s="85"/>
      <c r="Q36" s="85"/>
      <c r="R36" s="85"/>
      <c r="S36" s="86"/>
    </row>
    <row r="37" spans="3:19" x14ac:dyDescent="0.3">
      <c r="C37">
        <v>26</v>
      </c>
      <c r="D37" s="1" t="s">
        <v>47</v>
      </c>
      <c r="O37" s="84"/>
      <c r="P37" s="85"/>
      <c r="Q37" s="85"/>
      <c r="R37" s="85"/>
      <c r="S37" s="86"/>
    </row>
    <row r="38" spans="3:19" x14ac:dyDescent="0.3">
      <c r="C38">
        <v>27</v>
      </c>
      <c r="D38" s="1" t="s">
        <v>41</v>
      </c>
      <c r="O38" s="84"/>
      <c r="P38" s="85"/>
      <c r="Q38" s="85"/>
      <c r="R38" s="85"/>
      <c r="S38" s="86"/>
    </row>
    <row r="39" spans="3:19" x14ac:dyDescent="0.3">
      <c r="C39">
        <v>28</v>
      </c>
      <c r="D39" s="1" t="s">
        <v>216</v>
      </c>
      <c r="O39" s="84"/>
      <c r="P39" s="85"/>
      <c r="Q39" s="85"/>
      <c r="R39" s="85"/>
      <c r="S39" s="86"/>
    </row>
    <row r="40" spans="3:19" ht="17.25" thickBot="1" x14ac:dyDescent="0.35">
      <c r="O40" s="87"/>
      <c r="P40" s="88"/>
      <c r="Q40" s="88"/>
      <c r="R40" s="88"/>
      <c r="S40" s="89"/>
    </row>
    <row r="41" spans="3:19" ht="17.25" customHeight="1" x14ac:dyDescent="0.3"/>
    <row r="45" spans="3:19" ht="17.25" customHeight="1" x14ac:dyDescent="0.3"/>
    <row r="52" spans="8:8" x14ac:dyDescent="0.3">
      <c r="H52" s="1"/>
    </row>
    <row r="53" spans="8:8" x14ac:dyDescent="0.3">
      <c r="H53" s="1"/>
    </row>
    <row r="54" spans="8:8" x14ac:dyDescent="0.3">
      <c r="H54" s="1"/>
    </row>
    <row r="55" spans="8:8" x14ac:dyDescent="0.3">
      <c r="H55" s="1"/>
    </row>
    <row r="78" ht="16.5" customHeight="1" x14ac:dyDescent="0.3"/>
    <row r="81" spans="7:12" x14ac:dyDescent="0.3">
      <c r="L81" s="8"/>
    </row>
    <row r="86" spans="7:12" x14ac:dyDescent="0.3">
      <c r="L86" s="8"/>
    </row>
    <row r="90" spans="7:12" x14ac:dyDescent="0.3">
      <c r="G90" s="17"/>
    </row>
    <row r="91" spans="7:12" x14ac:dyDescent="0.3">
      <c r="G91" s="17"/>
      <c r="L91" s="18"/>
    </row>
    <row r="92" spans="7:12" x14ac:dyDescent="0.3">
      <c r="G92" s="17"/>
    </row>
    <row r="93" spans="7:12" x14ac:dyDescent="0.3">
      <c r="G93" s="17"/>
    </row>
    <row r="94" spans="7:12" x14ac:dyDescent="0.3">
      <c r="G94" s="1"/>
    </row>
    <row r="95" spans="7:12" x14ac:dyDescent="0.3">
      <c r="G95" s="17"/>
    </row>
    <row r="96" spans="7:12" x14ac:dyDescent="0.3">
      <c r="G96" s="1"/>
      <c r="L96" s="18"/>
    </row>
    <row r="97" spans="7:12" x14ac:dyDescent="0.3">
      <c r="G97" s="1"/>
      <c r="L97" s="18"/>
    </row>
    <row r="98" spans="7:12" x14ac:dyDescent="0.3">
      <c r="G98" s="1"/>
    </row>
    <row r="99" spans="7:12" x14ac:dyDescent="0.3">
      <c r="G99" s="1"/>
    </row>
    <row r="100" spans="7:12" x14ac:dyDescent="0.3">
      <c r="G100" s="1"/>
    </row>
    <row r="101" spans="7:12" x14ac:dyDescent="0.3">
      <c r="G101" s="1"/>
    </row>
    <row r="102" spans="7:12" x14ac:dyDescent="0.3">
      <c r="G102" s="1"/>
      <c r="H102" s="18"/>
    </row>
    <row r="103" spans="7:12" x14ac:dyDescent="0.3">
      <c r="H103" s="18"/>
    </row>
    <row r="104" spans="7:12" x14ac:dyDescent="0.3">
      <c r="H104" s="18"/>
    </row>
    <row r="105" spans="7:12" x14ac:dyDescent="0.3">
      <c r="L105" s="18"/>
    </row>
    <row r="106" spans="7:12" x14ac:dyDescent="0.3">
      <c r="H106" s="18"/>
    </row>
    <row r="108" spans="7:12" x14ac:dyDescent="0.3">
      <c r="H108" s="18"/>
    </row>
    <row r="133" spans="1:13" x14ac:dyDescent="0.3">
      <c r="M133" s="3"/>
    </row>
    <row r="140" spans="1:13" x14ac:dyDescent="0.3">
      <c r="A140" s="3"/>
      <c r="B140" s="3"/>
    </row>
  </sheetData>
  <mergeCells count="7">
    <mergeCell ref="J11:K11"/>
    <mergeCell ref="O32:S32"/>
    <mergeCell ref="O33:S40"/>
    <mergeCell ref="O12:S12"/>
    <mergeCell ref="O13:S20"/>
    <mergeCell ref="O22:S22"/>
    <mergeCell ref="O23:S30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7"/>
  <sheetViews>
    <sheetView zoomScaleNormal="100" workbookViewId="0">
      <pane ySplit="2" topLeftCell="A12" activePane="bottomLeft" state="frozen"/>
      <selection activeCell="I95" sqref="I95"/>
      <selection pane="bottomLeft" activeCell="G13" sqref="G13"/>
    </sheetView>
  </sheetViews>
  <sheetFormatPr defaultRowHeight="16.5" x14ac:dyDescent="0.3"/>
  <cols>
    <col min="1" max="1" width="7.25" customWidth="1"/>
    <col min="3" max="3" width="12.625" style="1" customWidth="1"/>
    <col min="4" max="4" width="11.625" customWidth="1"/>
    <col min="5" max="5" width="11.75" customWidth="1"/>
    <col min="6" max="6" width="11.875" customWidth="1"/>
    <col min="7" max="7" width="14" style="1" customWidth="1"/>
    <col min="8" max="8" width="12.25" style="1" customWidth="1"/>
    <col min="9" max="9" width="16.25" style="1" customWidth="1"/>
    <col min="10" max="10" width="27.5" customWidth="1"/>
  </cols>
  <sheetData>
    <row r="1" spans="1:10" x14ac:dyDescent="0.3">
      <c r="A1" s="90" t="s">
        <v>71</v>
      </c>
      <c r="B1" s="90"/>
      <c r="C1" s="90"/>
      <c r="D1" s="90"/>
      <c r="E1" s="90"/>
      <c r="F1" s="90"/>
      <c r="G1" s="90"/>
      <c r="H1" s="90"/>
      <c r="I1" s="90"/>
      <c r="J1" s="90"/>
    </row>
    <row r="2" spans="1:10" x14ac:dyDescent="0.3">
      <c r="A2" s="42" t="s">
        <v>70</v>
      </c>
      <c r="B2" s="42" t="s">
        <v>69</v>
      </c>
      <c r="C2" s="47" t="s">
        <v>68</v>
      </c>
      <c r="D2" s="42" t="s">
        <v>67</v>
      </c>
      <c r="E2" s="42" t="s">
        <v>66</v>
      </c>
      <c r="F2" s="42" t="s">
        <v>65</v>
      </c>
      <c r="G2" s="47" t="s">
        <v>64</v>
      </c>
      <c r="H2" s="47" t="s">
        <v>63</v>
      </c>
      <c r="I2" s="47" t="s">
        <v>62</v>
      </c>
      <c r="J2" s="42" t="s">
        <v>61</v>
      </c>
    </row>
    <row r="3" spans="1:10" x14ac:dyDescent="0.3">
      <c r="A3" s="43">
        <v>1</v>
      </c>
      <c r="B3" s="43" t="s">
        <v>72</v>
      </c>
      <c r="C3" s="46">
        <v>45231</v>
      </c>
      <c r="D3" s="44">
        <f>C3+180</f>
        <v>45411</v>
      </c>
      <c r="E3" s="44">
        <f t="shared" ref="E3:E25" si="0">C3+364</f>
        <v>45595</v>
      </c>
      <c r="F3" s="44">
        <f t="shared" ref="F3:F25" si="1">C3+729</f>
        <v>45960</v>
      </c>
      <c r="G3" s="42" t="s">
        <v>155</v>
      </c>
      <c r="H3" s="42" t="s">
        <v>156</v>
      </c>
      <c r="I3" s="43" t="s">
        <v>102</v>
      </c>
      <c r="J3" s="42"/>
    </row>
    <row r="4" spans="1:10" x14ac:dyDescent="0.3">
      <c r="A4" s="43">
        <v>2</v>
      </c>
      <c r="B4" s="43" t="s">
        <v>147</v>
      </c>
      <c r="C4" s="46">
        <v>45313</v>
      </c>
      <c r="D4" s="44">
        <f t="shared" ref="D4:D25" si="2">C4+180</f>
        <v>45493</v>
      </c>
      <c r="E4" s="44">
        <f t="shared" si="0"/>
        <v>45677</v>
      </c>
      <c r="F4" s="44">
        <f t="shared" si="1"/>
        <v>46042</v>
      </c>
      <c r="G4" s="47" t="s">
        <v>148</v>
      </c>
      <c r="H4" s="47" t="s">
        <v>149</v>
      </c>
      <c r="I4" s="43" t="s">
        <v>150</v>
      </c>
      <c r="J4" s="47"/>
    </row>
    <row r="5" spans="1:10" x14ac:dyDescent="0.3">
      <c r="A5" s="43">
        <v>3</v>
      </c>
      <c r="B5" s="43" t="s">
        <v>73</v>
      </c>
      <c r="C5" s="46">
        <v>45354</v>
      </c>
      <c r="D5" s="44">
        <f t="shared" si="2"/>
        <v>45534</v>
      </c>
      <c r="E5" s="44">
        <f t="shared" si="0"/>
        <v>45718</v>
      </c>
      <c r="F5" s="44">
        <f t="shared" si="1"/>
        <v>46083</v>
      </c>
      <c r="G5" s="42" t="s">
        <v>94</v>
      </c>
      <c r="H5" s="42" t="s">
        <v>1</v>
      </c>
      <c r="I5" s="43"/>
      <c r="J5" s="42"/>
    </row>
    <row r="6" spans="1:10" x14ac:dyDescent="0.3">
      <c r="A6" s="43">
        <v>4</v>
      </c>
      <c r="B6" s="43" t="s">
        <v>74</v>
      </c>
      <c r="C6" s="46">
        <v>45361</v>
      </c>
      <c r="D6" s="44">
        <f t="shared" si="2"/>
        <v>45541</v>
      </c>
      <c r="E6" s="44">
        <f t="shared" si="0"/>
        <v>45725</v>
      </c>
      <c r="F6" s="44">
        <f t="shared" si="1"/>
        <v>46090</v>
      </c>
      <c r="G6" s="42" t="s">
        <v>164</v>
      </c>
      <c r="H6" s="42" t="s">
        <v>98</v>
      </c>
      <c r="I6" s="43"/>
      <c r="J6" s="42"/>
    </row>
    <row r="7" spans="1:10" x14ac:dyDescent="0.3">
      <c r="A7" s="43">
        <v>5</v>
      </c>
      <c r="B7" s="43" t="s">
        <v>75</v>
      </c>
      <c r="C7" s="46">
        <v>45366</v>
      </c>
      <c r="D7" s="44">
        <f t="shared" si="2"/>
        <v>45546</v>
      </c>
      <c r="E7" s="44">
        <f t="shared" si="0"/>
        <v>45730</v>
      </c>
      <c r="F7" s="44">
        <f t="shared" si="1"/>
        <v>46095</v>
      </c>
      <c r="G7" s="42" t="s">
        <v>2</v>
      </c>
      <c r="H7" s="42" t="s">
        <v>59</v>
      </c>
      <c r="I7" s="43" t="s">
        <v>103</v>
      </c>
      <c r="J7" s="42"/>
    </row>
    <row r="8" spans="1:10" x14ac:dyDescent="0.3">
      <c r="A8" s="43">
        <v>6</v>
      </c>
      <c r="B8" s="43" t="s">
        <v>76</v>
      </c>
      <c r="C8" s="46">
        <v>45439</v>
      </c>
      <c r="D8" s="44">
        <f t="shared" si="2"/>
        <v>45619</v>
      </c>
      <c r="E8" s="44">
        <f t="shared" si="0"/>
        <v>45803</v>
      </c>
      <c r="F8" s="44">
        <f t="shared" si="1"/>
        <v>46168</v>
      </c>
      <c r="G8" s="42" t="s">
        <v>2</v>
      </c>
      <c r="H8" s="42" t="s">
        <v>163</v>
      </c>
      <c r="I8" s="43"/>
      <c r="J8" s="42"/>
    </row>
    <row r="9" spans="1:10" x14ac:dyDescent="0.3">
      <c r="A9" s="43">
        <v>7</v>
      </c>
      <c r="B9" s="43" t="s">
        <v>77</v>
      </c>
      <c r="C9" s="46">
        <v>45456</v>
      </c>
      <c r="D9" s="44">
        <f t="shared" si="2"/>
        <v>45636</v>
      </c>
      <c r="E9" s="44">
        <f t="shared" si="0"/>
        <v>45820</v>
      </c>
      <c r="F9" s="44">
        <f t="shared" si="1"/>
        <v>46185</v>
      </c>
      <c r="G9" s="42" t="s">
        <v>58</v>
      </c>
      <c r="H9" s="42" t="s">
        <v>98</v>
      </c>
      <c r="I9" s="43"/>
      <c r="J9" s="42"/>
    </row>
    <row r="10" spans="1:10" x14ac:dyDescent="0.3">
      <c r="A10" s="43">
        <v>8</v>
      </c>
      <c r="B10" s="43" t="s">
        <v>85</v>
      </c>
      <c r="C10" s="46">
        <v>45501</v>
      </c>
      <c r="D10" s="44">
        <f t="shared" si="2"/>
        <v>45681</v>
      </c>
      <c r="E10" s="44">
        <f t="shared" si="0"/>
        <v>45865</v>
      </c>
      <c r="F10" s="44">
        <f t="shared" si="1"/>
        <v>46230</v>
      </c>
      <c r="G10" s="42" t="s">
        <v>2</v>
      </c>
      <c r="H10" s="42" t="s">
        <v>101</v>
      </c>
      <c r="I10" s="43" t="s">
        <v>207</v>
      </c>
      <c r="J10" s="42"/>
    </row>
    <row r="11" spans="1:10" x14ac:dyDescent="0.3">
      <c r="A11" s="43">
        <v>9</v>
      </c>
      <c r="B11" s="43" t="s">
        <v>86</v>
      </c>
      <c r="C11" s="46">
        <v>45521</v>
      </c>
      <c r="D11" s="44">
        <f t="shared" si="2"/>
        <v>45701</v>
      </c>
      <c r="E11" s="44">
        <f t="shared" si="0"/>
        <v>45885</v>
      </c>
      <c r="F11" s="44">
        <f t="shared" si="1"/>
        <v>46250</v>
      </c>
      <c r="G11" s="42" t="s">
        <v>107</v>
      </c>
      <c r="H11" s="42" t="s">
        <v>99</v>
      </c>
      <c r="I11" s="43" t="s">
        <v>106</v>
      </c>
      <c r="J11" s="48" t="s">
        <v>108</v>
      </c>
    </row>
    <row r="12" spans="1:10" x14ac:dyDescent="0.3">
      <c r="A12" s="43">
        <v>10</v>
      </c>
      <c r="B12" s="43" t="s">
        <v>80</v>
      </c>
      <c r="C12" s="46">
        <v>45535</v>
      </c>
      <c r="D12" s="44">
        <f t="shared" si="2"/>
        <v>45715</v>
      </c>
      <c r="E12" s="44">
        <f t="shared" si="0"/>
        <v>45899</v>
      </c>
      <c r="F12" s="44">
        <f t="shared" si="1"/>
        <v>46264</v>
      </c>
      <c r="G12" s="42" t="s">
        <v>95</v>
      </c>
      <c r="H12" s="42" t="s">
        <v>104</v>
      </c>
      <c r="I12" s="43" t="s">
        <v>105</v>
      </c>
      <c r="J12" s="42"/>
    </row>
    <row r="13" spans="1:10" x14ac:dyDescent="0.3">
      <c r="A13" s="43">
        <v>11</v>
      </c>
      <c r="B13" s="43" t="s">
        <v>81</v>
      </c>
      <c r="C13" s="46">
        <v>45540</v>
      </c>
      <c r="D13" s="44">
        <f t="shared" si="2"/>
        <v>45720</v>
      </c>
      <c r="E13" s="44">
        <f t="shared" si="0"/>
        <v>45904</v>
      </c>
      <c r="F13" s="44">
        <f t="shared" si="1"/>
        <v>46269</v>
      </c>
      <c r="G13" s="42" t="s">
        <v>288</v>
      </c>
      <c r="H13" s="42" t="s">
        <v>101</v>
      </c>
      <c r="I13" s="43" t="s">
        <v>112</v>
      </c>
      <c r="J13" s="48" t="s">
        <v>153</v>
      </c>
    </row>
    <row r="14" spans="1:10" x14ac:dyDescent="0.3">
      <c r="A14" s="43">
        <v>12</v>
      </c>
      <c r="B14" s="70" t="s">
        <v>238</v>
      </c>
      <c r="C14" s="46">
        <v>45553</v>
      </c>
      <c r="D14" s="44">
        <f t="shared" si="2"/>
        <v>45733</v>
      </c>
      <c r="E14" s="44">
        <f t="shared" si="0"/>
        <v>45917</v>
      </c>
      <c r="F14" s="44">
        <f t="shared" si="1"/>
        <v>46282</v>
      </c>
      <c r="G14" s="42" t="s">
        <v>288</v>
      </c>
      <c r="H14" s="42" t="s">
        <v>239</v>
      </c>
      <c r="I14" s="43" t="s">
        <v>255</v>
      </c>
      <c r="J14" s="48" t="s">
        <v>160</v>
      </c>
    </row>
    <row r="15" spans="1:10" x14ac:dyDescent="0.3">
      <c r="A15" s="43">
        <v>13</v>
      </c>
      <c r="B15" s="43" t="s">
        <v>79</v>
      </c>
      <c r="C15" s="46">
        <v>45561</v>
      </c>
      <c r="D15" s="44">
        <f t="shared" si="2"/>
        <v>45741</v>
      </c>
      <c r="E15" s="44">
        <f t="shared" si="0"/>
        <v>45925</v>
      </c>
      <c r="F15" s="44">
        <f t="shared" si="1"/>
        <v>46290</v>
      </c>
      <c r="G15" s="42" t="s">
        <v>2</v>
      </c>
      <c r="H15" s="42" t="s">
        <v>100</v>
      </c>
      <c r="I15" s="43" t="s">
        <v>111</v>
      </c>
      <c r="J15" s="42"/>
    </row>
    <row r="16" spans="1:10" x14ac:dyDescent="0.3">
      <c r="A16" s="43">
        <v>14</v>
      </c>
      <c r="B16" s="43" t="s">
        <v>78</v>
      </c>
      <c r="C16" s="46">
        <v>45573</v>
      </c>
      <c r="D16" s="44">
        <f t="shared" si="2"/>
        <v>45753</v>
      </c>
      <c r="E16" s="44">
        <f t="shared" si="0"/>
        <v>45937</v>
      </c>
      <c r="F16" s="44">
        <f t="shared" si="1"/>
        <v>46302</v>
      </c>
      <c r="G16" s="42" t="s">
        <v>60</v>
      </c>
      <c r="H16" s="42" t="s">
        <v>99</v>
      </c>
      <c r="I16" s="43" t="s">
        <v>235</v>
      </c>
      <c r="J16" s="42"/>
    </row>
    <row r="17" spans="1:10" x14ac:dyDescent="0.3">
      <c r="A17" s="43">
        <v>15</v>
      </c>
      <c r="B17" s="43" t="s">
        <v>83</v>
      </c>
      <c r="C17" s="46">
        <v>45638</v>
      </c>
      <c r="D17" s="44">
        <f t="shared" si="2"/>
        <v>45818</v>
      </c>
      <c r="E17" s="44">
        <f t="shared" si="0"/>
        <v>46002</v>
      </c>
      <c r="F17" s="44">
        <f t="shared" si="1"/>
        <v>46367</v>
      </c>
      <c r="G17" s="42" t="s">
        <v>2</v>
      </c>
      <c r="H17" s="42" t="s">
        <v>101</v>
      </c>
      <c r="I17" s="43" t="s">
        <v>103</v>
      </c>
      <c r="J17" s="42"/>
    </row>
    <row r="18" spans="1:10" ht="15.75" customHeight="1" x14ac:dyDescent="0.3">
      <c r="A18" s="43">
        <v>16</v>
      </c>
      <c r="B18" s="43" t="s">
        <v>84</v>
      </c>
      <c r="C18" s="46">
        <v>45644</v>
      </c>
      <c r="D18" s="44">
        <f t="shared" si="2"/>
        <v>45824</v>
      </c>
      <c r="E18" s="44">
        <f t="shared" si="0"/>
        <v>46008</v>
      </c>
      <c r="F18" s="44">
        <f t="shared" si="1"/>
        <v>46373</v>
      </c>
      <c r="G18" s="42" t="s">
        <v>60</v>
      </c>
      <c r="H18" s="42" t="s">
        <v>99</v>
      </c>
      <c r="I18" s="43"/>
      <c r="J18" s="48" t="s">
        <v>190</v>
      </c>
    </row>
    <row r="19" spans="1:10" ht="15.75" customHeight="1" x14ac:dyDescent="0.3">
      <c r="A19" s="43">
        <v>17</v>
      </c>
      <c r="B19" s="43" t="s">
        <v>88</v>
      </c>
      <c r="C19" s="46">
        <v>45656</v>
      </c>
      <c r="D19" s="44">
        <f t="shared" si="2"/>
        <v>45836</v>
      </c>
      <c r="E19" s="44">
        <f t="shared" si="0"/>
        <v>46020</v>
      </c>
      <c r="F19" s="44">
        <f t="shared" si="1"/>
        <v>46385</v>
      </c>
      <c r="G19" s="42" t="s">
        <v>60</v>
      </c>
      <c r="H19" s="42" t="s">
        <v>161</v>
      </c>
      <c r="I19" s="43"/>
      <c r="J19" s="48" t="s">
        <v>160</v>
      </c>
    </row>
    <row r="20" spans="1:10" x14ac:dyDescent="0.3">
      <c r="A20" s="43">
        <v>18</v>
      </c>
      <c r="B20" s="43" t="s">
        <v>92</v>
      </c>
      <c r="C20" s="46">
        <v>45684</v>
      </c>
      <c r="D20" s="44">
        <f t="shared" si="2"/>
        <v>45864</v>
      </c>
      <c r="E20" s="44">
        <f t="shared" si="0"/>
        <v>46048</v>
      </c>
      <c r="F20" s="44">
        <f t="shared" si="1"/>
        <v>46413</v>
      </c>
      <c r="G20" s="42" t="s">
        <v>162</v>
      </c>
      <c r="H20" s="42" t="s">
        <v>99</v>
      </c>
      <c r="I20" s="43"/>
      <c r="J20" s="42"/>
    </row>
    <row r="21" spans="1:10" x14ac:dyDescent="0.3">
      <c r="A21" s="43">
        <v>19</v>
      </c>
      <c r="B21" s="43" t="s">
        <v>87</v>
      </c>
      <c r="C21" s="46">
        <v>45688</v>
      </c>
      <c r="D21" s="44">
        <f t="shared" si="2"/>
        <v>45868</v>
      </c>
      <c r="E21" s="44">
        <f t="shared" si="0"/>
        <v>46052</v>
      </c>
      <c r="F21" s="44">
        <f t="shared" si="1"/>
        <v>46417</v>
      </c>
      <c r="G21" s="42" t="s">
        <v>95</v>
      </c>
      <c r="H21" s="42" t="s">
        <v>99</v>
      </c>
      <c r="I21" s="43"/>
      <c r="J21" s="45"/>
    </row>
    <row r="22" spans="1:10" x14ac:dyDescent="0.3">
      <c r="A22" s="43">
        <v>20</v>
      </c>
      <c r="B22" s="43" t="s">
        <v>89</v>
      </c>
      <c r="C22" s="46">
        <v>45695</v>
      </c>
      <c r="D22" s="44">
        <f t="shared" si="2"/>
        <v>45875</v>
      </c>
      <c r="E22" s="44">
        <f t="shared" si="0"/>
        <v>46059</v>
      </c>
      <c r="F22" s="44">
        <f t="shared" si="1"/>
        <v>46424</v>
      </c>
      <c r="G22" s="42" t="s">
        <v>97</v>
      </c>
      <c r="H22" s="42" t="s">
        <v>55</v>
      </c>
      <c r="I22" s="43"/>
      <c r="J22" s="48" t="s">
        <v>109</v>
      </c>
    </row>
    <row r="23" spans="1:10" x14ac:dyDescent="0.3">
      <c r="A23" s="43">
        <v>21</v>
      </c>
      <c r="B23" s="43" t="s">
        <v>91</v>
      </c>
      <c r="C23" s="46">
        <v>45718</v>
      </c>
      <c r="D23" s="44">
        <f t="shared" si="2"/>
        <v>45898</v>
      </c>
      <c r="E23" s="44">
        <f t="shared" si="0"/>
        <v>46082</v>
      </c>
      <c r="F23" s="44">
        <f t="shared" si="1"/>
        <v>46447</v>
      </c>
      <c r="G23" s="42" t="s">
        <v>60</v>
      </c>
      <c r="H23" s="42" t="s">
        <v>99</v>
      </c>
      <c r="I23" s="43"/>
      <c r="J23" s="45"/>
    </row>
    <row r="24" spans="1:10" x14ac:dyDescent="0.3">
      <c r="A24" s="43">
        <v>22</v>
      </c>
      <c r="B24" s="43" t="s">
        <v>82</v>
      </c>
      <c r="C24" s="46">
        <v>45735</v>
      </c>
      <c r="D24" s="44">
        <f t="shared" si="2"/>
        <v>45915</v>
      </c>
      <c r="E24" s="44">
        <f t="shared" si="0"/>
        <v>46099</v>
      </c>
      <c r="F24" s="44">
        <f t="shared" si="1"/>
        <v>46464</v>
      </c>
      <c r="G24" s="42" t="s">
        <v>96</v>
      </c>
      <c r="H24" s="42" t="s">
        <v>43</v>
      </c>
      <c r="I24" s="43" t="s">
        <v>110</v>
      </c>
      <c r="J24" s="42"/>
    </row>
    <row r="25" spans="1:10" x14ac:dyDescent="0.3">
      <c r="A25" s="43">
        <v>23</v>
      </c>
      <c r="B25" s="43" t="s">
        <v>90</v>
      </c>
      <c r="C25" s="46">
        <v>45895</v>
      </c>
      <c r="D25" s="44">
        <f t="shared" si="2"/>
        <v>46075</v>
      </c>
      <c r="E25" s="44">
        <f t="shared" si="0"/>
        <v>46259</v>
      </c>
      <c r="F25" s="44">
        <f t="shared" si="1"/>
        <v>46624</v>
      </c>
      <c r="G25" s="42" t="s">
        <v>93</v>
      </c>
      <c r="H25" s="42" t="s">
        <v>99</v>
      </c>
      <c r="I25" s="43"/>
      <c r="J25" s="42"/>
    </row>
    <row r="26" spans="1:10" ht="17.25" customHeight="1" x14ac:dyDescent="0.3">
      <c r="A26" s="43">
        <v>24</v>
      </c>
      <c r="B26" s="43" t="s">
        <v>178</v>
      </c>
      <c r="C26" s="46">
        <v>45965</v>
      </c>
      <c r="D26" s="44">
        <f t="shared" ref="D26:D31" si="3">C26+180</f>
        <v>46145</v>
      </c>
      <c r="E26" s="44">
        <f t="shared" ref="E26:E31" si="4">C26+364</f>
        <v>46329</v>
      </c>
      <c r="F26" s="44">
        <f t="shared" ref="F26:F31" si="5">C26+729</f>
        <v>46694</v>
      </c>
      <c r="G26" s="47" t="s">
        <v>214</v>
      </c>
      <c r="H26" s="47" t="s">
        <v>181</v>
      </c>
      <c r="I26" s="43"/>
      <c r="J26" s="48" t="s">
        <v>213</v>
      </c>
    </row>
    <row r="27" spans="1:10" x14ac:dyDescent="0.3">
      <c r="A27" s="43">
        <v>25</v>
      </c>
      <c r="B27" s="43" t="s">
        <v>197</v>
      </c>
      <c r="C27" s="46">
        <v>45895</v>
      </c>
      <c r="D27" s="44">
        <f t="shared" si="3"/>
        <v>46075</v>
      </c>
      <c r="E27" s="44">
        <f t="shared" si="4"/>
        <v>46259</v>
      </c>
      <c r="F27" s="44">
        <f t="shared" si="5"/>
        <v>46624</v>
      </c>
      <c r="G27" s="47" t="s">
        <v>198</v>
      </c>
      <c r="H27" s="47" t="s">
        <v>199</v>
      </c>
      <c r="I27" s="43"/>
      <c r="J27" s="42"/>
    </row>
    <row r="28" spans="1:10" x14ac:dyDescent="0.3">
      <c r="A28" s="43">
        <v>26</v>
      </c>
      <c r="B28" s="43" t="s">
        <v>186</v>
      </c>
      <c r="C28" s="46">
        <v>45586</v>
      </c>
      <c r="D28" s="44">
        <f t="shared" si="3"/>
        <v>45766</v>
      </c>
      <c r="E28" s="44">
        <f t="shared" si="4"/>
        <v>45950</v>
      </c>
      <c r="F28" s="44">
        <f t="shared" si="5"/>
        <v>46315</v>
      </c>
      <c r="G28" s="47" t="s">
        <v>188</v>
      </c>
      <c r="H28" s="47" t="s">
        <v>187</v>
      </c>
      <c r="I28" s="43" t="s">
        <v>204</v>
      </c>
      <c r="J28" s="42"/>
    </row>
    <row r="29" spans="1:10" x14ac:dyDescent="0.3">
      <c r="A29" s="43">
        <v>27</v>
      </c>
      <c r="B29" s="43" t="s">
        <v>202</v>
      </c>
      <c r="C29" s="46">
        <v>45958</v>
      </c>
      <c r="D29" s="44">
        <f t="shared" si="3"/>
        <v>46138</v>
      </c>
      <c r="E29" s="44">
        <f t="shared" si="4"/>
        <v>46322</v>
      </c>
      <c r="F29" s="44">
        <f t="shared" si="5"/>
        <v>46687</v>
      </c>
      <c r="G29" s="47" t="s">
        <v>180</v>
      </c>
      <c r="H29" s="47" t="s">
        <v>43</v>
      </c>
      <c r="I29" s="43"/>
      <c r="J29" s="42"/>
    </row>
    <row r="30" spans="1:10" x14ac:dyDescent="0.3">
      <c r="A30" s="43">
        <v>28</v>
      </c>
      <c r="B30" s="43" t="s">
        <v>203</v>
      </c>
      <c r="C30" s="46">
        <v>45982</v>
      </c>
      <c r="D30" s="44"/>
      <c r="E30" s="44"/>
      <c r="F30" s="44"/>
      <c r="G30" s="47" t="s">
        <v>251</v>
      </c>
      <c r="H30" s="47"/>
      <c r="I30" s="43"/>
      <c r="J30" s="42"/>
    </row>
    <row r="31" spans="1:10" x14ac:dyDescent="0.3">
      <c r="A31" s="43">
        <v>29</v>
      </c>
      <c r="B31" s="43" t="s">
        <v>51</v>
      </c>
      <c r="C31" s="46">
        <v>45812</v>
      </c>
      <c r="D31" s="44">
        <f t="shared" si="3"/>
        <v>45992</v>
      </c>
      <c r="E31" s="44">
        <f t="shared" si="4"/>
        <v>46176</v>
      </c>
      <c r="F31" s="44">
        <f t="shared" si="5"/>
        <v>46541</v>
      </c>
      <c r="G31" s="47" t="s">
        <v>224</v>
      </c>
      <c r="H31" s="47"/>
      <c r="I31" s="43"/>
      <c r="J31" s="42"/>
    </row>
    <row r="32" spans="1:10" x14ac:dyDescent="0.3">
      <c r="A32" s="43">
        <v>30</v>
      </c>
      <c r="B32" s="43" t="s">
        <v>208</v>
      </c>
      <c r="C32" s="46">
        <v>45960</v>
      </c>
      <c r="D32" s="44"/>
      <c r="E32" s="44"/>
      <c r="F32" s="44"/>
      <c r="G32" s="47" t="s">
        <v>251</v>
      </c>
      <c r="H32" s="47"/>
      <c r="I32" s="43"/>
      <c r="J32" s="42"/>
    </row>
    <row r="33" spans="1:10" x14ac:dyDescent="0.3">
      <c r="A33" s="43">
        <v>31</v>
      </c>
      <c r="B33" s="43" t="s">
        <v>47</v>
      </c>
      <c r="C33" s="46">
        <v>45788</v>
      </c>
      <c r="D33" s="44">
        <f t="shared" ref="D33:D39" si="6">C33+180</f>
        <v>45968</v>
      </c>
      <c r="E33" s="44">
        <f t="shared" ref="E33:E39" si="7">C33+364</f>
        <v>46152</v>
      </c>
      <c r="F33" s="44">
        <f t="shared" ref="F33:F39" si="8">C33+729</f>
        <v>46517</v>
      </c>
      <c r="G33" s="47" t="s">
        <v>224</v>
      </c>
      <c r="H33" s="47" t="s">
        <v>43</v>
      </c>
      <c r="I33" s="43"/>
      <c r="J33" s="42"/>
    </row>
    <row r="34" spans="1:10" x14ac:dyDescent="0.3">
      <c r="A34" s="43">
        <v>32</v>
      </c>
      <c r="B34" s="43" t="s">
        <v>227</v>
      </c>
      <c r="C34" s="46">
        <v>45988</v>
      </c>
      <c r="D34" s="44"/>
      <c r="E34" s="44"/>
      <c r="F34" s="44"/>
      <c r="G34" s="47" t="s">
        <v>232</v>
      </c>
      <c r="H34" s="47"/>
      <c r="I34" s="43"/>
      <c r="J34" s="42"/>
    </row>
    <row r="35" spans="1:10" x14ac:dyDescent="0.3">
      <c r="A35" s="43">
        <v>33</v>
      </c>
      <c r="B35" s="43" t="s">
        <v>240</v>
      </c>
      <c r="C35" s="46">
        <v>45954</v>
      </c>
      <c r="D35" s="44">
        <f t="shared" si="6"/>
        <v>46134</v>
      </c>
      <c r="E35" s="44">
        <f t="shared" si="7"/>
        <v>46318</v>
      </c>
      <c r="F35" s="44">
        <f t="shared" si="8"/>
        <v>46683</v>
      </c>
      <c r="G35" s="47" t="s">
        <v>249</v>
      </c>
      <c r="H35" s="47" t="s">
        <v>290</v>
      </c>
      <c r="I35" s="43"/>
      <c r="J35" s="48" t="s">
        <v>250</v>
      </c>
    </row>
    <row r="36" spans="1:10" x14ac:dyDescent="0.3">
      <c r="A36" s="43">
        <v>34</v>
      </c>
      <c r="B36" s="43" t="s">
        <v>258</v>
      </c>
      <c r="C36" s="46">
        <v>46017</v>
      </c>
      <c r="D36" s="44"/>
      <c r="E36" s="44"/>
      <c r="F36" s="44"/>
      <c r="G36" s="47" t="s">
        <v>232</v>
      </c>
      <c r="H36" s="43"/>
      <c r="I36" s="43"/>
      <c r="J36" s="42"/>
    </row>
    <row r="37" spans="1:10" x14ac:dyDescent="0.3">
      <c r="A37" s="43">
        <v>35</v>
      </c>
      <c r="B37" s="43" t="s">
        <v>283</v>
      </c>
      <c r="C37" s="46">
        <v>46013</v>
      </c>
      <c r="D37" s="44"/>
      <c r="E37" s="44"/>
      <c r="F37" s="44"/>
      <c r="G37" s="43" t="s">
        <v>286</v>
      </c>
      <c r="H37" s="43"/>
      <c r="I37" s="43"/>
      <c r="J37" s="42"/>
    </row>
    <row r="38" spans="1:10" x14ac:dyDescent="0.3">
      <c r="A38" s="43">
        <v>36</v>
      </c>
      <c r="B38" s="43" t="s">
        <v>284</v>
      </c>
      <c r="C38" s="46">
        <v>45968</v>
      </c>
      <c r="D38" s="44"/>
      <c r="E38" s="44"/>
      <c r="F38" s="44"/>
      <c r="G38" s="43" t="s">
        <v>285</v>
      </c>
      <c r="H38" s="43"/>
      <c r="I38" s="43"/>
      <c r="J38" s="42"/>
    </row>
    <row r="39" spans="1:10" x14ac:dyDescent="0.3">
      <c r="A39" s="43">
        <v>37</v>
      </c>
      <c r="B39" s="43" t="s">
        <v>289</v>
      </c>
      <c r="C39" s="46">
        <v>45943</v>
      </c>
      <c r="D39" s="44">
        <f t="shared" si="6"/>
        <v>46123</v>
      </c>
      <c r="E39" s="44">
        <f t="shared" si="7"/>
        <v>46307</v>
      </c>
      <c r="F39" s="44">
        <f t="shared" si="8"/>
        <v>46672</v>
      </c>
      <c r="G39" s="47" t="s">
        <v>214</v>
      </c>
      <c r="H39" s="47" t="s">
        <v>43</v>
      </c>
      <c r="I39" s="43"/>
      <c r="J39" s="48" t="s">
        <v>213</v>
      </c>
    </row>
    <row r="56" ht="16.5" customHeight="1" x14ac:dyDescent="0.3"/>
    <row r="111" spans="12:12" x14ac:dyDescent="0.3">
      <c r="L111" s="3"/>
    </row>
    <row r="117" spans="11:11" x14ac:dyDescent="0.3">
      <c r="K117" s="3"/>
    </row>
  </sheetData>
  <autoFilter ref="A2:J2" xr:uid="{00000000-0009-0000-0000-000001000000}">
    <sortState xmlns:xlrd2="http://schemas.microsoft.com/office/spreadsheetml/2017/richdata2" ref="A3:J36">
      <sortCondition ref="C2"/>
    </sortState>
  </autoFilter>
  <mergeCells count="1">
    <mergeCell ref="A1:J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65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15"/>
  <sheetViews>
    <sheetView zoomScale="70" zoomScaleNormal="70" workbookViewId="0">
      <selection activeCell="H17" sqref="H17"/>
    </sheetView>
  </sheetViews>
  <sheetFormatPr defaultRowHeight="19.5" x14ac:dyDescent="0.3"/>
  <cols>
    <col min="1" max="1" width="9" style="20"/>
    <col min="2" max="2" width="8.625" style="20" customWidth="1"/>
    <col min="3" max="3" width="12.625" style="21" customWidth="1"/>
    <col min="4" max="5" width="20.625" style="21" customWidth="1"/>
    <col min="6" max="6" width="14.375" style="21" customWidth="1"/>
    <col min="7" max="7" width="18.75" style="21" customWidth="1"/>
    <col min="8" max="8" width="28" style="21" customWidth="1"/>
    <col min="9" max="9" width="20.5" style="21" customWidth="1"/>
    <col min="10" max="10" width="24.375" style="21" customWidth="1"/>
    <col min="11" max="11" width="30.25" style="20" customWidth="1"/>
    <col min="12" max="12" width="13.25" style="20" customWidth="1"/>
    <col min="13" max="13" width="15.5" style="20" customWidth="1"/>
    <col min="14" max="14" width="16.375" style="20" customWidth="1"/>
    <col min="15" max="16" width="21.25" style="20" customWidth="1"/>
    <col min="17" max="17" width="9" style="20"/>
    <col min="18" max="18" width="13.375" style="20" customWidth="1"/>
    <col min="19" max="19" width="11.75" style="20" customWidth="1"/>
    <col min="20" max="20" width="11.5" style="20" customWidth="1"/>
    <col min="21" max="21" width="9" style="20"/>
    <col min="22" max="22" width="12.625" style="20" customWidth="1"/>
    <col min="23" max="16384" width="9" style="20"/>
  </cols>
  <sheetData>
    <row r="1" spans="2:18" ht="20.25" thickBot="1" x14ac:dyDescent="0.35">
      <c r="B1" s="94" t="s">
        <v>135</v>
      </c>
      <c r="C1" s="95"/>
      <c r="D1" s="95"/>
      <c r="E1" s="95"/>
      <c r="F1" s="95"/>
      <c r="G1" s="95"/>
      <c r="H1" s="95"/>
      <c r="I1" s="95"/>
      <c r="J1" s="95"/>
      <c r="K1" s="96"/>
    </row>
    <row r="2" spans="2:18" x14ac:dyDescent="0.3">
      <c r="B2" s="97" t="s">
        <v>265</v>
      </c>
      <c r="C2" s="98"/>
      <c r="D2" s="98"/>
      <c r="E2" s="98"/>
      <c r="F2" s="98"/>
      <c r="G2" s="98"/>
      <c r="H2" s="98"/>
      <c r="I2" s="98"/>
      <c r="J2" s="98"/>
      <c r="K2" s="99"/>
      <c r="L2" s="30"/>
    </row>
    <row r="3" spans="2:18" ht="39" x14ac:dyDescent="0.3">
      <c r="B3" s="26"/>
      <c r="C3" s="22" t="s">
        <v>126</v>
      </c>
      <c r="D3" s="22" t="s">
        <v>117</v>
      </c>
      <c r="E3" s="22" t="s">
        <v>116</v>
      </c>
      <c r="F3" s="31" t="s">
        <v>122</v>
      </c>
      <c r="G3" s="25" t="s">
        <v>134</v>
      </c>
      <c r="H3" s="25" t="s">
        <v>64</v>
      </c>
      <c r="I3" s="25" t="s">
        <v>63</v>
      </c>
      <c r="J3" s="25" t="s">
        <v>62</v>
      </c>
      <c r="K3" s="50" t="s">
        <v>61</v>
      </c>
      <c r="L3" s="30"/>
      <c r="R3" s="29"/>
    </row>
    <row r="4" spans="2:18" x14ac:dyDescent="0.3">
      <c r="B4" s="22">
        <v>1</v>
      </c>
      <c r="C4" s="24" t="s">
        <v>136</v>
      </c>
      <c r="D4" s="23">
        <v>45789</v>
      </c>
      <c r="E4" s="23">
        <v>45854</v>
      </c>
      <c r="F4" s="22">
        <f t="shared" ref="F4:F17" si="0">E4-D4</f>
        <v>65</v>
      </c>
      <c r="G4" s="23">
        <f t="shared" ref="G4:G17" si="1">E4+179</f>
        <v>46033</v>
      </c>
      <c r="H4" s="22" t="s">
        <v>219</v>
      </c>
      <c r="I4" s="41" t="s">
        <v>220</v>
      </c>
      <c r="J4" s="41"/>
      <c r="K4" s="51"/>
    </row>
    <row r="5" spans="2:18" x14ac:dyDescent="0.3">
      <c r="B5" s="22">
        <v>2</v>
      </c>
      <c r="C5" s="24" t="s">
        <v>52</v>
      </c>
      <c r="D5" s="23">
        <v>45878</v>
      </c>
      <c r="E5" s="23">
        <v>45889</v>
      </c>
      <c r="F5" s="22">
        <f t="shared" si="0"/>
        <v>11</v>
      </c>
      <c r="G5" s="23">
        <f t="shared" si="1"/>
        <v>46068</v>
      </c>
      <c r="H5" s="22" t="s">
        <v>132</v>
      </c>
      <c r="I5" s="41" t="s">
        <v>131</v>
      </c>
      <c r="J5" s="41"/>
      <c r="K5" s="51"/>
      <c r="L5" s="4"/>
    </row>
    <row r="6" spans="2:18" x14ac:dyDescent="0.3">
      <c r="B6" s="22">
        <v>3</v>
      </c>
      <c r="C6" s="24" t="s">
        <v>137</v>
      </c>
      <c r="D6" s="23">
        <v>45890</v>
      </c>
      <c r="E6" s="23">
        <v>45908</v>
      </c>
      <c r="F6" s="22">
        <f t="shared" si="0"/>
        <v>18</v>
      </c>
      <c r="G6" s="23">
        <f t="shared" si="1"/>
        <v>46087</v>
      </c>
      <c r="H6" s="22" t="s">
        <v>133</v>
      </c>
      <c r="I6" s="41" t="s">
        <v>151</v>
      </c>
      <c r="J6" s="41"/>
      <c r="K6" s="51"/>
    </row>
    <row r="7" spans="2:18" x14ac:dyDescent="0.3">
      <c r="B7" s="22">
        <v>4</v>
      </c>
      <c r="C7" s="22" t="s">
        <v>138</v>
      </c>
      <c r="D7" s="23">
        <v>45911</v>
      </c>
      <c r="E7" s="23">
        <v>45926</v>
      </c>
      <c r="F7" s="22">
        <f t="shared" si="0"/>
        <v>15</v>
      </c>
      <c r="G7" s="23">
        <f t="shared" si="1"/>
        <v>46105</v>
      </c>
      <c r="H7" s="22" t="s">
        <v>133</v>
      </c>
      <c r="I7" s="41" t="s">
        <v>131</v>
      </c>
      <c r="J7" s="41" t="s">
        <v>157</v>
      </c>
      <c r="K7" s="52"/>
    </row>
    <row r="8" spans="2:18" x14ac:dyDescent="0.3">
      <c r="B8" s="22">
        <v>5</v>
      </c>
      <c r="C8" s="22" t="s">
        <v>146</v>
      </c>
      <c r="D8" s="23">
        <v>45922</v>
      </c>
      <c r="E8" s="23">
        <v>45952</v>
      </c>
      <c r="F8" s="22">
        <f t="shared" si="0"/>
        <v>30</v>
      </c>
      <c r="G8" s="23">
        <f t="shared" si="1"/>
        <v>46131</v>
      </c>
      <c r="H8" s="22" t="s">
        <v>133</v>
      </c>
      <c r="I8" s="22" t="s">
        <v>165</v>
      </c>
      <c r="J8" s="22" t="s">
        <v>157</v>
      </c>
      <c r="K8" s="51"/>
    </row>
    <row r="9" spans="2:18" x14ac:dyDescent="0.3">
      <c r="B9" s="22">
        <v>6</v>
      </c>
      <c r="C9" s="22" t="s">
        <v>167</v>
      </c>
      <c r="D9" s="23">
        <v>45961</v>
      </c>
      <c r="E9" s="23">
        <v>45974</v>
      </c>
      <c r="F9" s="22">
        <f t="shared" si="0"/>
        <v>13</v>
      </c>
      <c r="G9" s="23">
        <f t="shared" si="1"/>
        <v>46153</v>
      </c>
      <c r="H9" s="22" t="s">
        <v>132</v>
      </c>
      <c r="I9" s="22" t="s">
        <v>225</v>
      </c>
      <c r="J9" s="22" t="s">
        <v>157</v>
      </c>
      <c r="K9" s="51"/>
    </row>
    <row r="10" spans="2:18" x14ac:dyDescent="0.3">
      <c r="B10" s="22">
        <v>7</v>
      </c>
      <c r="C10" s="22" t="s">
        <v>173</v>
      </c>
      <c r="D10" s="23">
        <v>45922</v>
      </c>
      <c r="E10" s="23">
        <v>45980</v>
      </c>
      <c r="F10" s="22">
        <f t="shared" si="0"/>
        <v>58</v>
      </c>
      <c r="G10" s="23">
        <f t="shared" si="1"/>
        <v>46159</v>
      </c>
      <c r="H10" s="22" t="s">
        <v>182</v>
      </c>
      <c r="I10" s="22" t="s">
        <v>189</v>
      </c>
      <c r="J10" s="22" t="s">
        <v>174</v>
      </c>
      <c r="K10" s="51"/>
    </row>
    <row r="11" spans="2:18" x14ac:dyDescent="0.3">
      <c r="B11" s="22">
        <v>8</v>
      </c>
      <c r="C11" s="22" t="s">
        <v>184</v>
      </c>
      <c r="D11" s="23">
        <v>45952</v>
      </c>
      <c r="E11" s="23">
        <v>45987</v>
      </c>
      <c r="F11" s="22">
        <f t="shared" si="0"/>
        <v>35</v>
      </c>
      <c r="G11" s="23">
        <f t="shared" si="1"/>
        <v>46166</v>
      </c>
      <c r="H11" s="22" t="s">
        <v>132</v>
      </c>
      <c r="I11" s="22" t="s">
        <v>200</v>
      </c>
      <c r="J11" s="22"/>
      <c r="K11" s="51"/>
    </row>
    <row r="12" spans="2:18" x14ac:dyDescent="0.3">
      <c r="B12" s="22">
        <v>9</v>
      </c>
      <c r="C12" s="22" t="s">
        <v>217</v>
      </c>
      <c r="D12" s="23">
        <v>45917</v>
      </c>
      <c r="E12" s="23">
        <v>46003</v>
      </c>
      <c r="F12" s="22">
        <f t="shared" ref="F12" si="2">E12-D12</f>
        <v>86</v>
      </c>
      <c r="G12" s="23">
        <f t="shared" ref="G12" si="3">E12+179</f>
        <v>46182</v>
      </c>
      <c r="H12" s="22" t="s">
        <v>132</v>
      </c>
      <c r="I12" s="22" t="s">
        <v>165</v>
      </c>
      <c r="J12" s="22"/>
      <c r="K12" s="51"/>
    </row>
    <row r="13" spans="2:18" x14ac:dyDescent="0.3">
      <c r="B13" s="22">
        <v>10</v>
      </c>
      <c r="C13" s="22" t="s">
        <v>223</v>
      </c>
      <c r="D13" s="23">
        <v>45980</v>
      </c>
      <c r="E13" s="23">
        <v>46007</v>
      </c>
      <c r="F13" s="22">
        <f t="shared" si="0"/>
        <v>27</v>
      </c>
      <c r="G13" s="23">
        <f t="shared" si="1"/>
        <v>46186</v>
      </c>
      <c r="H13" s="22" t="s">
        <v>132</v>
      </c>
      <c r="I13" s="22" t="s">
        <v>165</v>
      </c>
      <c r="J13" s="22"/>
      <c r="K13" s="51"/>
    </row>
    <row r="14" spans="2:18" x14ac:dyDescent="0.3">
      <c r="B14" s="22">
        <v>11</v>
      </c>
      <c r="C14" s="22" t="s">
        <v>230</v>
      </c>
      <c r="D14" s="23">
        <v>45990</v>
      </c>
      <c r="E14" s="23">
        <v>46010</v>
      </c>
      <c r="F14" s="22">
        <f t="shared" ref="F14" si="4">E14-D14</f>
        <v>20</v>
      </c>
      <c r="G14" s="23">
        <f t="shared" ref="G14" si="5">E14+179</f>
        <v>46189</v>
      </c>
      <c r="H14" s="22" t="s">
        <v>132</v>
      </c>
      <c r="I14" s="22" t="s">
        <v>165</v>
      </c>
      <c r="J14" s="22" t="s">
        <v>158</v>
      </c>
      <c r="K14" s="51"/>
    </row>
    <row r="15" spans="2:18" x14ac:dyDescent="0.3">
      <c r="B15" s="22">
        <v>12</v>
      </c>
      <c r="C15" s="39" t="s">
        <v>236</v>
      </c>
      <c r="D15" s="23">
        <v>45993</v>
      </c>
      <c r="E15" s="23">
        <v>46014</v>
      </c>
      <c r="F15" s="22">
        <f t="shared" si="0"/>
        <v>21</v>
      </c>
      <c r="G15" s="23">
        <f t="shared" si="1"/>
        <v>46193</v>
      </c>
      <c r="H15" s="22" t="s">
        <v>219</v>
      </c>
      <c r="I15" s="22" t="s">
        <v>259</v>
      </c>
      <c r="J15" s="22"/>
      <c r="K15" s="51"/>
    </row>
    <row r="16" spans="2:18" x14ac:dyDescent="0.3">
      <c r="B16" s="22">
        <v>13</v>
      </c>
      <c r="C16" s="22" t="s">
        <v>264</v>
      </c>
      <c r="D16" s="23">
        <v>46002</v>
      </c>
      <c r="E16" s="23">
        <v>46028</v>
      </c>
      <c r="F16" s="22">
        <f t="shared" si="0"/>
        <v>26</v>
      </c>
      <c r="G16" s="23">
        <f t="shared" si="1"/>
        <v>46207</v>
      </c>
      <c r="H16" s="22" t="s">
        <v>132</v>
      </c>
      <c r="I16" s="22" t="s">
        <v>200</v>
      </c>
      <c r="J16" s="22"/>
      <c r="K16" s="51"/>
    </row>
    <row r="17" spans="2:11" x14ac:dyDescent="0.3">
      <c r="B17" s="22">
        <v>14</v>
      </c>
      <c r="C17" s="22" t="s">
        <v>287</v>
      </c>
      <c r="D17" s="23">
        <v>46001</v>
      </c>
      <c r="E17" s="23">
        <v>46029</v>
      </c>
      <c r="F17" s="22">
        <f t="shared" si="0"/>
        <v>28</v>
      </c>
      <c r="G17" s="23">
        <f t="shared" si="1"/>
        <v>46208</v>
      </c>
      <c r="H17" s="22" t="s">
        <v>132</v>
      </c>
      <c r="I17" s="22" t="s">
        <v>131</v>
      </c>
      <c r="J17" s="22"/>
      <c r="K17" s="51"/>
    </row>
    <row r="18" spans="2:11" x14ac:dyDescent="0.3">
      <c r="B18" s="59"/>
      <c r="C18" s="59"/>
      <c r="D18" s="60"/>
      <c r="E18" s="60"/>
      <c r="F18" s="59"/>
      <c r="G18" s="60"/>
      <c r="H18" s="59"/>
      <c r="I18" s="59"/>
      <c r="J18" s="59"/>
      <c r="K18" s="61"/>
    </row>
    <row r="19" spans="2:11" x14ac:dyDescent="0.3">
      <c r="B19" s="56"/>
      <c r="C19" s="57"/>
      <c r="D19" s="58"/>
      <c r="E19" s="58"/>
      <c r="F19" s="56"/>
      <c r="G19" s="58"/>
      <c r="H19" s="56"/>
      <c r="I19" s="56"/>
      <c r="J19" s="56"/>
      <c r="K19" s="62"/>
    </row>
    <row r="20" spans="2:11" x14ac:dyDescent="0.3">
      <c r="B20" s="100" t="s">
        <v>130</v>
      </c>
      <c r="C20" s="101"/>
      <c r="D20" s="101"/>
      <c r="E20" s="101"/>
      <c r="F20" s="101"/>
      <c r="G20" s="101"/>
      <c r="H20" s="101"/>
      <c r="I20" s="101"/>
      <c r="J20" s="101"/>
      <c r="K20" s="101"/>
    </row>
    <row r="21" spans="2:11" ht="39" x14ac:dyDescent="0.3">
      <c r="B21" s="26"/>
      <c r="C21" s="22" t="s">
        <v>126</v>
      </c>
      <c r="D21" s="22" t="s">
        <v>129</v>
      </c>
      <c r="E21" s="22" t="s">
        <v>116</v>
      </c>
      <c r="F21" s="25" t="s">
        <v>122</v>
      </c>
      <c r="G21" s="25" t="s">
        <v>128</v>
      </c>
      <c r="H21" s="25" t="s">
        <v>120</v>
      </c>
      <c r="I21" s="25" t="s">
        <v>119</v>
      </c>
      <c r="J21" s="25" t="s">
        <v>127</v>
      </c>
      <c r="K21" s="50" t="s">
        <v>61</v>
      </c>
    </row>
    <row r="23" spans="2:11" x14ac:dyDescent="0.3">
      <c r="C23" s="20"/>
      <c r="D23" s="20"/>
      <c r="E23" s="20"/>
      <c r="F23" s="20"/>
      <c r="G23" s="20"/>
      <c r="H23" s="20"/>
      <c r="I23" s="20"/>
      <c r="J23" s="20"/>
    </row>
    <row r="24" spans="2:11" x14ac:dyDescent="0.3">
      <c r="B24" s="100" t="s">
        <v>166</v>
      </c>
      <c r="C24" s="101"/>
      <c r="D24" s="101"/>
      <c r="E24" s="101"/>
      <c r="F24" s="101"/>
      <c r="G24" s="101"/>
      <c r="H24" s="101"/>
      <c r="I24" s="101"/>
      <c r="J24" s="101"/>
      <c r="K24" s="102"/>
    </row>
    <row r="25" spans="2:11" ht="39" x14ac:dyDescent="0.3">
      <c r="B25" s="26"/>
      <c r="C25" s="22" t="s">
        <v>126</v>
      </c>
      <c r="D25" s="22" t="s">
        <v>117</v>
      </c>
      <c r="E25" s="22" t="s">
        <v>116</v>
      </c>
      <c r="F25" s="25" t="s">
        <v>122</v>
      </c>
      <c r="G25" s="25" t="s">
        <v>125</v>
      </c>
      <c r="H25" s="25" t="s">
        <v>120</v>
      </c>
      <c r="I25" s="25" t="s">
        <v>119</v>
      </c>
      <c r="J25" s="25" t="s">
        <v>62</v>
      </c>
      <c r="K25" s="50" t="s">
        <v>61</v>
      </c>
    </row>
    <row r="26" spans="2:11" x14ac:dyDescent="0.3">
      <c r="B26" s="22"/>
      <c r="C26" s="22"/>
      <c r="D26" s="23"/>
      <c r="E26" s="23"/>
      <c r="F26" s="22"/>
      <c r="G26" s="23"/>
      <c r="H26" s="22"/>
      <c r="I26" s="22"/>
      <c r="J26" s="22"/>
      <c r="K26" s="52"/>
    </row>
    <row r="27" spans="2:11" x14ac:dyDescent="0.3">
      <c r="C27" s="20"/>
      <c r="D27" s="20"/>
      <c r="E27" s="20"/>
      <c r="F27" s="20"/>
      <c r="G27" s="20"/>
      <c r="H27" s="20"/>
      <c r="I27" s="20"/>
      <c r="J27" s="20"/>
    </row>
    <row r="28" spans="2:11" x14ac:dyDescent="0.3">
      <c r="B28" s="100" t="s">
        <v>245</v>
      </c>
      <c r="C28" s="101"/>
      <c r="D28" s="101"/>
      <c r="E28" s="101"/>
      <c r="F28" s="101"/>
      <c r="G28" s="101"/>
      <c r="H28" s="101"/>
      <c r="I28" s="101"/>
      <c r="J28" s="101"/>
      <c r="K28" s="102"/>
    </row>
    <row r="29" spans="2:11" ht="39" x14ac:dyDescent="0.3">
      <c r="B29" s="26"/>
      <c r="C29" s="22" t="s">
        <v>118</v>
      </c>
      <c r="D29" s="22" t="s">
        <v>117</v>
      </c>
      <c r="E29" s="22" t="s">
        <v>116</v>
      </c>
      <c r="F29" s="25" t="s">
        <v>122</v>
      </c>
      <c r="G29" s="25" t="s">
        <v>124</v>
      </c>
      <c r="H29" s="25" t="s">
        <v>120</v>
      </c>
      <c r="I29" s="25" t="s">
        <v>119</v>
      </c>
      <c r="J29" s="25" t="s">
        <v>123</v>
      </c>
      <c r="K29" s="50" t="s">
        <v>61</v>
      </c>
    </row>
    <row r="30" spans="2:11" x14ac:dyDescent="0.3">
      <c r="B30" s="22">
        <v>1</v>
      </c>
      <c r="C30" s="22" t="s">
        <v>218</v>
      </c>
      <c r="D30" s="23">
        <v>46003</v>
      </c>
      <c r="E30" s="23">
        <v>46003</v>
      </c>
      <c r="F30" s="22">
        <f>E30-D30</f>
        <v>0</v>
      </c>
      <c r="G30" s="49">
        <f>E30+59</f>
        <v>46062</v>
      </c>
      <c r="H30" s="25" t="s">
        <v>206</v>
      </c>
      <c r="I30" s="25" t="s">
        <v>165</v>
      </c>
      <c r="J30" s="25"/>
      <c r="K30" s="50"/>
    </row>
    <row r="31" spans="2:11" x14ac:dyDescent="0.3">
      <c r="B31" s="22">
        <v>2</v>
      </c>
      <c r="C31" s="22" t="s">
        <v>244</v>
      </c>
      <c r="D31" s="23">
        <v>46008</v>
      </c>
      <c r="E31" s="23">
        <v>46017</v>
      </c>
      <c r="F31" s="22">
        <f>E31-D31</f>
        <v>9</v>
      </c>
      <c r="G31" s="49">
        <f>E31+59</f>
        <v>46076</v>
      </c>
      <c r="H31" s="22" t="s">
        <v>171</v>
      </c>
      <c r="I31" s="22" t="s">
        <v>145</v>
      </c>
      <c r="J31" s="25"/>
      <c r="K31" s="50"/>
    </row>
    <row r="32" spans="2:11" x14ac:dyDescent="0.3">
      <c r="C32" s="20"/>
      <c r="D32" s="20"/>
      <c r="E32" s="20"/>
      <c r="F32" s="20"/>
      <c r="G32" s="20"/>
      <c r="H32" s="20"/>
      <c r="I32" s="20"/>
      <c r="J32" s="20"/>
    </row>
    <row r="33" spans="2:13" x14ac:dyDescent="0.3">
      <c r="B33" s="100" t="s">
        <v>260</v>
      </c>
      <c r="C33" s="101"/>
      <c r="D33" s="101"/>
      <c r="E33" s="101"/>
      <c r="F33" s="101"/>
      <c r="G33" s="101"/>
      <c r="H33" s="101"/>
      <c r="I33" s="101"/>
      <c r="J33" s="101"/>
      <c r="K33" s="102"/>
    </row>
    <row r="34" spans="2:13" ht="39" x14ac:dyDescent="0.3">
      <c r="B34" s="26"/>
      <c r="C34" s="22" t="s">
        <v>27</v>
      </c>
      <c r="D34" s="22" t="s">
        <v>117</v>
      </c>
      <c r="E34" s="22" t="s">
        <v>116</v>
      </c>
      <c r="F34" s="25" t="s">
        <v>122</v>
      </c>
      <c r="G34" s="25" t="s">
        <v>121</v>
      </c>
      <c r="H34" s="25" t="s">
        <v>120</v>
      </c>
      <c r="I34" s="25" t="s">
        <v>119</v>
      </c>
      <c r="J34" s="25" t="s">
        <v>62</v>
      </c>
      <c r="K34" s="50" t="s">
        <v>61</v>
      </c>
    </row>
    <row r="35" spans="2:13" x14ac:dyDescent="0.3">
      <c r="B35" s="22">
        <v>1</v>
      </c>
      <c r="C35" s="22" t="s">
        <v>170</v>
      </c>
      <c r="D35" s="23">
        <v>45951</v>
      </c>
      <c r="E35" s="23">
        <v>45972</v>
      </c>
      <c r="F35" s="22">
        <f t="shared" ref="F35:F37" si="6">E35-D35</f>
        <v>21</v>
      </c>
      <c r="G35" s="49">
        <f t="shared" ref="G35:G37" si="7">E35+59</f>
        <v>46031</v>
      </c>
      <c r="H35" s="22" t="s">
        <v>171</v>
      </c>
      <c r="I35" s="22" t="s">
        <v>145</v>
      </c>
      <c r="J35" s="25"/>
      <c r="K35" s="50"/>
    </row>
    <row r="36" spans="2:13" x14ac:dyDescent="0.3">
      <c r="B36" s="22">
        <v>2</v>
      </c>
      <c r="C36" s="22" t="s">
        <v>205</v>
      </c>
      <c r="D36" s="23">
        <v>45981</v>
      </c>
      <c r="E36" s="23">
        <v>45999</v>
      </c>
      <c r="F36" s="22">
        <f t="shared" si="6"/>
        <v>18</v>
      </c>
      <c r="G36" s="49">
        <f t="shared" si="7"/>
        <v>46058</v>
      </c>
      <c r="H36" s="22" t="s">
        <v>221</v>
      </c>
      <c r="I36" s="22" t="s">
        <v>222</v>
      </c>
      <c r="J36" s="22"/>
      <c r="K36" s="26"/>
    </row>
    <row r="37" spans="2:13" x14ac:dyDescent="0.3">
      <c r="B37" s="22">
        <v>3</v>
      </c>
      <c r="C37" s="22" t="s">
        <v>228</v>
      </c>
      <c r="D37" s="23">
        <v>45987</v>
      </c>
      <c r="E37" s="23">
        <v>46009</v>
      </c>
      <c r="F37" s="22">
        <f t="shared" si="6"/>
        <v>22</v>
      </c>
      <c r="G37" s="49">
        <f t="shared" si="7"/>
        <v>46068</v>
      </c>
      <c r="H37" s="22" t="s">
        <v>221</v>
      </c>
      <c r="I37" s="22" t="s">
        <v>145</v>
      </c>
      <c r="J37" s="22"/>
      <c r="K37" s="52" t="s">
        <v>231</v>
      </c>
    </row>
    <row r="38" spans="2:13" x14ac:dyDescent="0.3">
      <c r="B38" s="22">
        <v>4</v>
      </c>
      <c r="C38" s="22" t="s">
        <v>233</v>
      </c>
      <c r="D38" s="23">
        <v>46003</v>
      </c>
      <c r="E38" s="23">
        <v>46013</v>
      </c>
      <c r="F38" s="22">
        <f t="shared" ref="F38" si="8">E38-D38</f>
        <v>10</v>
      </c>
      <c r="G38" s="49">
        <f t="shared" ref="G38" si="9">E38+59</f>
        <v>46072</v>
      </c>
      <c r="H38" s="22" t="s">
        <v>221</v>
      </c>
      <c r="I38" s="22" t="s">
        <v>165</v>
      </c>
      <c r="J38" s="22" t="s">
        <v>269</v>
      </c>
      <c r="K38" s="52"/>
    </row>
    <row r="39" spans="2:13" x14ac:dyDescent="0.3">
      <c r="C39" s="28"/>
      <c r="D39" s="27"/>
      <c r="E39" s="27"/>
      <c r="G39" s="27"/>
      <c r="H39" s="20"/>
      <c r="I39" s="20"/>
      <c r="J39" s="20"/>
    </row>
    <row r="40" spans="2:13" x14ac:dyDescent="0.3">
      <c r="B40" s="91" t="s">
        <v>254</v>
      </c>
      <c r="C40" s="92"/>
      <c r="D40" s="92"/>
      <c r="E40" s="92"/>
      <c r="F40" s="92"/>
      <c r="G40" s="92"/>
      <c r="H40" s="93"/>
      <c r="I40" s="20"/>
      <c r="J40" s="20"/>
      <c r="L40" s="21"/>
      <c r="M40" s="21"/>
    </row>
    <row r="41" spans="2:13" ht="39" x14ac:dyDescent="0.3">
      <c r="B41" s="26"/>
      <c r="C41" s="22" t="s">
        <v>118</v>
      </c>
      <c r="D41" s="22" t="s">
        <v>117</v>
      </c>
      <c r="E41" s="22" t="s">
        <v>116</v>
      </c>
      <c r="F41" s="25" t="s">
        <v>115</v>
      </c>
      <c r="G41" s="25" t="s">
        <v>114</v>
      </c>
      <c r="H41" s="25" t="s">
        <v>113</v>
      </c>
      <c r="I41" s="20"/>
      <c r="J41" s="20"/>
      <c r="K41" s="21"/>
      <c r="L41" s="21"/>
      <c r="M41" s="21"/>
    </row>
    <row r="42" spans="2:13" x14ac:dyDescent="0.3">
      <c r="B42" s="22">
        <v>1</v>
      </c>
      <c r="C42" s="24" t="s">
        <v>139</v>
      </c>
      <c r="D42" s="23">
        <v>45573</v>
      </c>
      <c r="E42" s="23">
        <v>45597</v>
      </c>
      <c r="F42" s="23">
        <v>45776</v>
      </c>
      <c r="G42" s="23">
        <f t="shared" ref="G42:G54" si="10">F42+90</f>
        <v>45866</v>
      </c>
      <c r="H42" s="39" t="s">
        <v>144</v>
      </c>
      <c r="I42" s="20"/>
      <c r="J42" s="20"/>
      <c r="K42" s="21"/>
    </row>
    <row r="43" spans="2:13" x14ac:dyDescent="0.3">
      <c r="B43" s="22">
        <v>2</v>
      </c>
      <c r="C43" s="24" t="s">
        <v>140</v>
      </c>
      <c r="D43" s="23">
        <v>45561</v>
      </c>
      <c r="E43" s="23">
        <v>45601</v>
      </c>
      <c r="F43" s="23">
        <v>45780</v>
      </c>
      <c r="G43" s="23">
        <f t="shared" si="10"/>
        <v>45870</v>
      </c>
      <c r="H43" s="39" t="s">
        <v>144</v>
      </c>
      <c r="I43" s="20"/>
      <c r="J43" s="20"/>
    </row>
    <row r="44" spans="2:13" x14ac:dyDescent="0.3">
      <c r="B44" s="22">
        <v>3</v>
      </c>
      <c r="C44" s="37" t="s">
        <v>28</v>
      </c>
      <c r="D44" s="23">
        <v>45535</v>
      </c>
      <c r="E44" s="23">
        <v>45602</v>
      </c>
      <c r="F44" s="23">
        <v>45781</v>
      </c>
      <c r="G44" s="23">
        <f t="shared" si="10"/>
        <v>45871</v>
      </c>
      <c r="H44" s="39" t="s">
        <v>144</v>
      </c>
      <c r="I44" s="20"/>
      <c r="J44" s="20"/>
    </row>
    <row r="45" spans="2:13" x14ac:dyDescent="0.3">
      <c r="B45" s="22">
        <v>4</v>
      </c>
      <c r="C45" s="37" t="s">
        <v>141</v>
      </c>
      <c r="D45" s="23">
        <v>45638</v>
      </c>
      <c r="E45" s="23">
        <v>45679</v>
      </c>
      <c r="F45" s="23">
        <v>45858</v>
      </c>
      <c r="G45" s="23">
        <f t="shared" si="10"/>
        <v>45948</v>
      </c>
      <c r="H45" s="39" t="s">
        <v>144</v>
      </c>
      <c r="I45" s="20"/>
      <c r="J45" s="20"/>
    </row>
    <row r="46" spans="2:13" x14ac:dyDescent="0.3">
      <c r="B46" s="22">
        <v>5</v>
      </c>
      <c r="C46" s="37" t="s">
        <v>142</v>
      </c>
      <c r="D46" s="23">
        <v>45644</v>
      </c>
      <c r="E46" s="23">
        <v>45681</v>
      </c>
      <c r="F46" s="23">
        <v>45860</v>
      </c>
      <c r="G46" s="23">
        <f t="shared" si="10"/>
        <v>45950</v>
      </c>
      <c r="H46" s="39" t="s">
        <v>144</v>
      </c>
      <c r="I46" s="20"/>
      <c r="J46" s="20"/>
    </row>
    <row r="47" spans="2:13" x14ac:dyDescent="0.3">
      <c r="B47" s="22">
        <v>6</v>
      </c>
      <c r="C47" s="37" t="s">
        <v>19</v>
      </c>
      <c r="D47" s="23">
        <v>45688</v>
      </c>
      <c r="E47" s="23">
        <v>45702</v>
      </c>
      <c r="F47" s="23">
        <v>45881</v>
      </c>
      <c r="G47" s="23">
        <f t="shared" si="10"/>
        <v>45971</v>
      </c>
      <c r="H47" s="39" t="s">
        <v>159</v>
      </c>
      <c r="I47" s="20"/>
      <c r="J47" s="20"/>
    </row>
    <row r="48" spans="2:13" x14ac:dyDescent="0.3">
      <c r="B48" s="22">
        <v>7</v>
      </c>
      <c r="C48" s="37" t="s">
        <v>21</v>
      </c>
      <c r="D48" s="23">
        <v>45716</v>
      </c>
      <c r="E48" s="23">
        <v>45719</v>
      </c>
      <c r="F48" s="23">
        <v>45898</v>
      </c>
      <c r="G48" s="23">
        <f t="shared" si="10"/>
        <v>45988</v>
      </c>
      <c r="H48" s="39" t="s">
        <v>144</v>
      </c>
      <c r="I48" s="20"/>
      <c r="J48" s="20"/>
    </row>
    <row r="49" spans="2:10" x14ac:dyDescent="0.3">
      <c r="B49" s="22">
        <v>8</v>
      </c>
      <c r="C49" s="38" t="s">
        <v>143</v>
      </c>
      <c r="D49" s="23">
        <v>45695</v>
      </c>
      <c r="E49" s="23">
        <v>45727</v>
      </c>
      <c r="F49" s="23">
        <v>45906</v>
      </c>
      <c r="G49" s="23">
        <f t="shared" si="10"/>
        <v>45996</v>
      </c>
      <c r="H49" s="39" t="s">
        <v>144</v>
      </c>
      <c r="I49" s="20"/>
      <c r="J49" s="20"/>
    </row>
    <row r="50" spans="2:10" x14ac:dyDescent="0.3">
      <c r="B50" s="22">
        <v>9</v>
      </c>
      <c r="C50" s="23" t="s">
        <v>41</v>
      </c>
      <c r="D50" s="23">
        <v>45718</v>
      </c>
      <c r="E50" s="23">
        <v>45756</v>
      </c>
      <c r="F50" s="23">
        <v>45935</v>
      </c>
      <c r="G50" s="23">
        <f t="shared" si="10"/>
        <v>46025</v>
      </c>
      <c r="H50" s="39" t="s">
        <v>144</v>
      </c>
      <c r="I50" s="20"/>
      <c r="J50" s="20"/>
    </row>
    <row r="51" spans="2:10" x14ac:dyDescent="0.3">
      <c r="B51" s="22">
        <v>10</v>
      </c>
      <c r="C51" s="24" t="s">
        <v>42</v>
      </c>
      <c r="D51" s="23">
        <v>45684</v>
      </c>
      <c r="E51" s="23">
        <v>45758</v>
      </c>
      <c r="F51" s="23">
        <v>45964</v>
      </c>
      <c r="G51" s="23">
        <f t="shared" si="10"/>
        <v>46054</v>
      </c>
      <c r="H51" s="39" t="s">
        <v>144</v>
      </c>
      <c r="I51" s="20"/>
      <c r="J51" s="20"/>
    </row>
    <row r="52" spans="2:10" x14ac:dyDescent="0.3">
      <c r="B52" s="22">
        <v>11</v>
      </c>
      <c r="C52" s="22" t="s">
        <v>191</v>
      </c>
      <c r="D52" s="23">
        <v>45788</v>
      </c>
      <c r="E52" s="23">
        <v>45828</v>
      </c>
      <c r="F52" s="23">
        <v>46007</v>
      </c>
      <c r="G52" s="23">
        <f t="shared" si="10"/>
        <v>46097</v>
      </c>
      <c r="H52" s="22" t="s">
        <v>192</v>
      </c>
      <c r="I52" s="20"/>
      <c r="J52" s="20"/>
    </row>
    <row r="53" spans="2:10" x14ac:dyDescent="0.3">
      <c r="B53" s="22">
        <v>12</v>
      </c>
      <c r="C53" s="22" t="s">
        <v>194</v>
      </c>
      <c r="D53" s="23">
        <v>45812</v>
      </c>
      <c r="E53" s="23">
        <v>45820</v>
      </c>
      <c r="F53" s="23">
        <v>45999</v>
      </c>
      <c r="G53" s="23">
        <f t="shared" si="10"/>
        <v>46089</v>
      </c>
      <c r="H53" s="22" t="s">
        <v>193</v>
      </c>
      <c r="I53" s="20"/>
      <c r="J53" s="20"/>
    </row>
    <row r="54" spans="2:10" x14ac:dyDescent="0.3">
      <c r="B54" s="22">
        <v>13</v>
      </c>
      <c r="C54" s="22" t="s">
        <v>252</v>
      </c>
      <c r="D54" s="23">
        <v>45789</v>
      </c>
      <c r="E54" s="23">
        <v>45854</v>
      </c>
      <c r="F54" s="69">
        <v>46033</v>
      </c>
      <c r="G54" s="23">
        <f t="shared" si="10"/>
        <v>46123</v>
      </c>
      <c r="H54" s="22" t="s">
        <v>253</v>
      </c>
      <c r="I54" s="20"/>
      <c r="J54" s="20"/>
    </row>
    <row r="55" spans="2:10" x14ac:dyDescent="0.3">
      <c r="C55" s="20"/>
      <c r="D55" s="20"/>
      <c r="E55" s="20"/>
      <c r="F55" s="20"/>
      <c r="G55" s="20"/>
      <c r="H55" s="20"/>
      <c r="I55" s="20"/>
      <c r="J55" s="20"/>
    </row>
    <row r="56" spans="2:10" x14ac:dyDescent="0.3">
      <c r="C56" s="20"/>
      <c r="D56" s="20"/>
      <c r="E56" s="20"/>
      <c r="F56" s="20"/>
      <c r="G56" s="20"/>
      <c r="H56" s="20"/>
      <c r="I56" s="20"/>
      <c r="J56" s="20"/>
    </row>
    <row r="57" spans="2:10" x14ac:dyDescent="0.3">
      <c r="C57" s="20"/>
      <c r="D57" s="20"/>
      <c r="E57" s="20"/>
      <c r="F57" s="20"/>
      <c r="G57" s="20"/>
      <c r="H57" s="20"/>
      <c r="I57" s="20"/>
      <c r="J57" s="20"/>
    </row>
    <row r="58" spans="2:10" x14ac:dyDescent="0.3">
      <c r="C58" s="20"/>
      <c r="D58" s="20"/>
      <c r="E58" s="20"/>
      <c r="F58" s="20"/>
      <c r="G58" s="20"/>
      <c r="H58" s="20"/>
      <c r="I58" s="20"/>
      <c r="J58" s="20"/>
    </row>
    <row r="59" spans="2:10" x14ac:dyDescent="0.3">
      <c r="C59" s="20"/>
      <c r="D59" s="20"/>
      <c r="E59" s="20"/>
      <c r="F59" s="20"/>
      <c r="G59" s="20"/>
      <c r="H59" s="20"/>
      <c r="I59" s="20"/>
      <c r="J59" s="20"/>
    </row>
    <row r="60" spans="2:10" x14ac:dyDescent="0.3">
      <c r="C60" s="20"/>
      <c r="D60" s="20"/>
      <c r="E60" s="20"/>
      <c r="F60" s="20"/>
      <c r="G60" s="20"/>
      <c r="H60" s="20"/>
      <c r="I60" s="20"/>
      <c r="J60" s="20"/>
    </row>
    <row r="61" spans="2:10" x14ac:dyDescent="0.3">
      <c r="C61" s="20"/>
      <c r="D61" s="20"/>
      <c r="E61" s="20"/>
      <c r="F61" s="20"/>
      <c r="G61" s="20"/>
      <c r="H61" s="20"/>
      <c r="I61" s="20"/>
      <c r="J61" s="20"/>
    </row>
    <row r="62" spans="2:10" x14ac:dyDescent="0.3">
      <c r="C62" s="20"/>
      <c r="D62" s="20"/>
      <c r="E62" s="20"/>
      <c r="F62" s="20"/>
      <c r="G62" s="20"/>
      <c r="H62" s="20"/>
      <c r="I62" s="20"/>
      <c r="J62" s="20"/>
    </row>
    <row r="63" spans="2:10" x14ac:dyDescent="0.3">
      <c r="C63" s="20"/>
      <c r="D63" s="20"/>
      <c r="E63" s="20"/>
      <c r="F63" s="20"/>
      <c r="G63" s="20"/>
      <c r="H63" s="20"/>
      <c r="I63" s="20"/>
      <c r="J63" s="20"/>
    </row>
    <row r="64" spans="2:10" x14ac:dyDescent="0.3">
      <c r="C64" s="20"/>
      <c r="D64" s="20"/>
      <c r="E64" s="20"/>
      <c r="F64" s="20"/>
      <c r="G64" s="20"/>
      <c r="H64" s="20"/>
      <c r="I64" s="20"/>
      <c r="J64" s="20"/>
    </row>
    <row r="65" s="20" customFormat="1" x14ac:dyDescent="0.3"/>
    <row r="66" s="20" customFormat="1" x14ac:dyDescent="0.3"/>
    <row r="67" s="20" customFormat="1" x14ac:dyDescent="0.3"/>
    <row r="68" s="20" customFormat="1" x14ac:dyDescent="0.3"/>
    <row r="69" s="20" customFormat="1" x14ac:dyDescent="0.3"/>
    <row r="70" s="20" customFormat="1" x14ac:dyDescent="0.3"/>
    <row r="71" s="20" customFormat="1" x14ac:dyDescent="0.3"/>
    <row r="72" s="20" customFormat="1" x14ac:dyDescent="0.3"/>
    <row r="73" s="20" customFormat="1" x14ac:dyDescent="0.3"/>
    <row r="74" s="20" customFormat="1" x14ac:dyDescent="0.3"/>
    <row r="75" s="20" customFormat="1" x14ac:dyDescent="0.3"/>
    <row r="76" s="20" customFormat="1" x14ac:dyDescent="0.3"/>
    <row r="77" s="20" customFormat="1" x14ac:dyDescent="0.3"/>
    <row r="78" s="20" customFormat="1" x14ac:dyDescent="0.3"/>
    <row r="79" s="20" customFormat="1" x14ac:dyDescent="0.3"/>
    <row r="80" s="20" customFormat="1" x14ac:dyDescent="0.3"/>
    <row r="81" s="20" customFormat="1" x14ac:dyDescent="0.3"/>
    <row r="82" s="20" customFormat="1" x14ac:dyDescent="0.3"/>
    <row r="83" s="20" customFormat="1" x14ac:dyDescent="0.3"/>
    <row r="84" s="20" customFormat="1" x14ac:dyDescent="0.3"/>
    <row r="85" s="20" customFormat="1" x14ac:dyDescent="0.3"/>
    <row r="86" s="20" customFormat="1" x14ac:dyDescent="0.3"/>
    <row r="87" s="20" customFormat="1" x14ac:dyDescent="0.3"/>
    <row r="88" s="20" customFormat="1" x14ac:dyDescent="0.3"/>
    <row r="89" s="20" customFormat="1" x14ac:dyDescent="0.3"/>
    <row r="90" s="20" customFormat="1" x14ac:dyDescent="0.3"/>
    <row r="91" s="20" customFormat="1" x14ac:dyDescent="0.3"/>
    <row r="92" s="20" customFormat="1" x14ac:dyDescent="0.3"/>
    <row r="93" s="20" customFormat="1" x14ac:dyDescent="0.3"/>
    <row r="94" s="20" customFormat="1" x14ac:dyDescent="0.3"/>
    <row r="95" s="20" customFormat="1" x14ac:dyDescent="0.3"/>
    <row r="96" s="20" customFormat="1" x14ac:dyDescent="0.3"/>
    <row r="97" s="20" customFormat="1" x14ac:dyDescent="0.3"/>
    <row r="98" s="20" customFormat="1" x14ac:dyDescent="0.3"/>
    <row r="99" s="20" customFormat="1" x14ac:dyDescent="0.3"/>
    <row r="100" s="20" customFormat="1" x14ac:dyDescent="0.3"/>
    <row r="101" s="20" customFormat="1" x14ac:dyDescent="0.3"/>
    <row r="102" s="20" customFormat="1" x14ac:dyDescent="0.3"/>
    <row r="103" s="20" customFormat="1" x14ac:dyDescent="0.3"/>
    <row r="104" s="20" customFormat="1" x14ac:dyDescent="0.3"/>
    <row r="105" s="20" customFormat="1" x14ac:dyDescent="0.3"/>
    <row r="106" s="20" customFormat="1" x14ac:dyDescent="0.3"/>
    <row r="107" s="20" customFormat="1" x14ac:dyDescent="0.3"/>
    <row r="108" s="20" customFormat="1" x14ac:dyDescent="0.3"/>
    <row r="109" s="20" customFormat="1" x14ac:dyDescent="0.3"/>
    <row r="110" s="20" customFormat="1" x14ac:dyDescent="0.3"/>
    <row r="111" s="20" customFormat="1" x14ac:dyDescent="0.3"/>
    <row r="112" s="20" customFormat="1" x14ac:dyDescent="0.3"/>
    <row r="113" s="20" customFormat="1" x14ac:dyDescent="0.3"/>
    <row r="114" s="20" customFormat="1" x14ac:dyDescent="0.3"/>
    <row r="115" s="20" customFormat="1" x14ac:dyDescent="0.3"/>
    <row r="116" s="20" customFormat="1" x14ac:dyDescent="0.3"/>
    <row r="117" s="20" customFormat="1" x14ac:dyDescent="0.3"/>
    <row r="118" s="20" customFormat="1" x14ac:dyDescent="0.3"/>
    <row r="119" s="20" customFormat="1" x14ac:dyDescent="0.3"/>
    <row r="120" s="20" customFormat="1" x14ac:dyDescent="0.3"/>
    <row r="121" s="20" customFormat="1" x14ac:dyDescent="0.3"/>
    <row r="122" s="20" customFormat="1" x14ac:dyDescent="0.3"/>
    <row r="123" s="20" customFormat="1" x14ac:dyDescent="0.3"/>
    <row r="124" s="20" customFormat="1" x14ac:dyDescent="0.3"/>
    <row r="125" s="20" customFormat="1" x14ac:dyDescent="0.3"/>
    <row r="126" s="20" customFormat="1" x14ac:dyDescent="0.3"/>
    <row r="127" s="20" customFormat="1" x14ac:dyDescent="0.3"/>
    <row r="128" s="20" customFormat="1" x14ac:dyDescent="0.3"/>
    <row r="129" s="20" customFormat="1" x14ac:dyDescent="0.3"/>
    <row r="130" s="20" customFormat="1" x14ac:dyDescent="0.3"/>
    <row r="131" s="20" customFormat="1" x14ac:dyDescent="0.3"/>
    <row r="132" s="20" customFormat="1" x14ac:dyDescent="0.3"/>
    <row r="133" s="20" customFormat="1" x14ac:dyDescent="0.3"/>
    <row r="134" s="20" customFormat="1" x14ac:dyDescent="0.3"/>
    <row r="135" s="20" customFormat="1" x14ac:dyDescent="0.3"/>
    <row r="136" s="20" customFormat="1" x14ac:dyDescent="0.3"/>
    <row r="137" s="20" customFormat="1" x14ac:dyDescent="0.3"/>
    <row r="138" s="20" customFormat="1" x14ac:dyDescent="0.3"/>
    <row r="139" s="20" customFormat="1" x14ac:dyDescent="0.3"/>
    <row r="140" s="20" customFormat="1" x14ac:dyDescent="0.3"/>
    <row r="141" s="20" customFormat="1" x14ac:dyDescent="0.3"/>
    <row r="142" s="20" customFormat="1" x14ac:dyDescent="0.3"/>
    <row r="143" s="20" customFormat="1" x14ac:dyDescent="0.3"/>
    <row r="144" s="20" customFormat="1" x14ac:dyDescent="0.3"/>
    <row r="145" s="20" customFormat="1" x14ac:dyDescent="0.3"/>
    <row r="146" s="20" customFormat="1" x14ac:dyDescent="0.3"/>
    <row r="147" s="20" customFormat="1" x14ac:dyDescent="0.3"/>
    <row r="148" s="20" customFormat="1" x14ac:dyDescent="0.3"/>
    <row r="149" s="20" customFormat="1" x14ac:dyDescent="0.3"/>
    <row r="150" s="20" customFormat="1" x14ac:dyDescent="0.3"/>
    <row r="151" s="20" customFormat="1" x14ac:dyDescent="0.3"/>
    <row r="152" s="20" customFormat="1" x14ac:dyDescent="0.3"/>
    <row r="153" s="20" customFormat="1" x14ac:dyDescent="0.3"/>
    <row r="154" s="20" customFormat="1" x14ac:dyDescent="0.3"/>
    <row r="155" s="20" customFormat="1" x14ac:dyDescent="0.3"/>
    <row r="156" s="20" customFormat="1" x14ac:dyDescent="0.3"/>
    <row r="157" s="20" customFormat="1" x14ac:dyDescent="0.3"/>
    <row r="158" s="20" customFormat="1" x14ac:dyDescent="0.3"/>
    <row r="159" s="20" customFormat="1" x14ac:dyDescent="0.3"/>
    <row r="160" s="20" customFormat="1" x14ac:dyDescent="0.3"/>
    <row r="161" s="20" customFormat="1" x14ac:dyDescent="0.3"/>
    <row r="162" s="20" customFormat="1" x14ac:dyDescent="0.3"/>
    <row r="163" s="20" customFormat="1" x14ac:dyDescent="0.3"/>
    <row r="164" s="20" customFormat="1" x14ac:dyDescent="0.3"/>
    <row r="165" s="20" customFormat="1" x14ac:dyDescent="0.3"/>
    <row r="166" s="20" customFormat="1" x14ac:dyDescent="0.3"/>
    <row r="167" s="20" customFormat="1" x14ac:dyDescent="0.3"/>
    <row r="168" s="20" customFormat="1" x14ac:dyDescent="0.3"/>
    <row r="169" s="20" customFormat="1" x14ac:dyDescent="0.3"/>
    <row r="170" s="20" customFormat="1" x14ac:dyDescent="0.3"/>
    <row r="171" s="20" customFormat="1" x14ac:dyDescent="0.3"/>
    <row r="172" s="20" customFormat="1" x14ac:dyDescent="0.3"/>
    <row r="173" s="20" customFormat="1" x14ac:dyDescent="0.3"/>
    <row r="174" s="20" customFormat="1" x14ac:dyDescent="0.3"/>
    <row r="175" s="20" customFormat="1" x14ac:dyDescent="0.3"/>
    <row r="176" s="20" customFormat="1" x14ac:dyDescent="0.3"/>
    <row r="177" s="20" customFormat="1" x14ac:dyDescent="0.3"/>
    <row r="178" s="20" customFormat="1" x14ac:dyDescent="0.3"/>
    <row r="179" s="20" customFormat="1" x14ac:dyDescent="0.3"/>
    <row r="180" s="20" customFormat="1" x14ac:dyDescent="0.3"/>
    <row r="181" s="20" customFormat="1" x14ac:dyDescent="0.3"/>
    <row r="182" s="20" customFormat="1" x14ac:dyDescent="0.3"/>
    <row r="183" s="20" customFormat="1" x14ac:dyDescent="0.3"/>
    <row r="184" s="20" customFormat="1" x14ac:dyDescent="0.3"/>
    <row r="185" s="20" customFormat="1" x14ac:dyDescent="0.3"/>
    <row r="186" s="20" customFormat="1" x14ac:dyDescent="0.3"/>
    <row r="187" s="20" customFormat="1" x14ac:dyDescent="0.3"/>
    <row r="188" s="20" customFormat="1" x14ac:dyDescent="0.3"/>
    <row r="189" s="20" customFormat="1" x14ac:dyDescent="0.3"/>
    <row r="190" s="20" customFormat="1" x14ac:dyDescent="0.3"/>
    <row r="191" s="20" customFormat="1" x14ac:dyDescent="0.3"/>
    <row r="192" s="20" customFormat="1" x14ac:dyDescent="0.3"/>
    <row r="193" s="20" customFormat="1" x14ac:dyDescent="0.3"/>
    <row r="194" s="20" customFormat="1" x14ac:dyDescent="0.3"/>
    <row r="195" s="20" customFormat="1" x14ac:dyDescent="0.3"/>
    <row r="196" s="20" customFormat="1" x14ac:dyDescent="0.3"/>
    <row r="197" s="20" customFormat="1" x14ac:dyDescent="0.3"/>
    <row r="198" s="20" customFormat="1" x14ac:dyDescent="0.3"/>
    <row r="199" s="20" customFormat="1" x14ac:dyDescent="0.3"/>
    <row r="200" s="20" customFormat="1" x14ac:dyDescent="0.3"/>
    <row r="201" s="20" customFormat="1" x14ac:dyDescent="0.3"/>
    <row r="202" s="20" customFormat="1" x14ac:dyDescent="0.3"/>
    <row r="203" s="20" customFormat="1" x14ac:dyDescent="0.3"/>
    <row r="204" s="20" customFormat="1" x14ac:dyDescent="0.3"/>
    <row r="205" s="20" customFormat="1" x14ac:dyDescent="0.3"/>
    <row r="206" s="20" customFormat="1" x14ac:dyDescent="0.3"/>
    <row r="207" s="20" customFormat="1" x14ac:dyDescent="0.3"/>
    <row r="208" s="20" customFormat="1" x14ac:dyDescent="0.3"/>
    <row r="209" s="20" customFormat="1" x14ac:dyDescent="0.3"/>
    <row r="210" s="20" customFormat="1" x14ac:dyDescent="0.3"/>
    <row r="211" s="20" customFormat="1" x14ac:dyDescent="0.3"/>
    <row r="212" s="20" customFormat="1" x14ac:dyDescent="0.3"/>
    <row r="213" s="20" customFormat="1" x14ac:dyDescent="0.3"/>
    <row r="214" s="20" customFormat="1" x14ac:dyDescent="0.3"/>
    <row r="215" s="20" customFormat="1" ht="20.25" customHeight="1" x14ac:dyDescent="0.3"/>
    <row r="216" s="20" customFormat="1" ht="20.25" customHeight="1" x14ac:dyDescent="0.3"/>
    <row r="217" s="20" customFormat="1" ht="20.25" customHeight="1" x14ac:dyDescent="0.3"/>
    <row r="218" s="20" customFormat="1" ht="20.25" customHeight="1" x14ac:dyDescent="0.3"/>
    <row r="219" s="20" customFormat="1" ht="20.25" customHeight="1" x14ac:dyDescent="0.3"/>
    <row r="220" s="20" customFormat="1" ht="20.45" customHeight="1" x14ac:dyDescent="0.3"/>
    <row r="221" s="20" customFormat="1" ht="20.25" customHeight="1" x14ac:dyDescent="0.3"/>
    <row r="222" s="20" customFormat="1" ht="20.25" customHeight="1" x14ac:dyDescent="0.3"/>
    <row r="223" s="20" customFormat="1" ht="22.5" customHeight="1" x14ac:dyDescent="0.3"/>
    <row r="224" s="20" customFormat="1" ht="20.45" customHeight="1" x14ac:dyDescent="0.3"/>
    <row r="225" spans="3:10" ht="20.25" customHeight="1" x14ac:dyDescent="0.3">
      <c r="C225" s="20"/>
      <c r="D225" s="20"/>
      <c r="E225" s="20"/>
      <c r="F225" s="20"/>
      <c r="G225" s="20"/>
      <c r="H225" s="20"/>
      <c r="I225" s="20"/>
      <c r="J225" s="20"/>
    </row>
    <row r="226" spans="3:10" ht="20.25" customHeight="1" x14ac:dyDescent="0.3">
      <c r="C226" s="20"/>
      <c r="D226" s="20"/>
      <c r="E226" s="20"/>
      <c r="F226" s="20"/>
      <c r="G226" s="20"/>
      <c r="H226" s="20"/>
      <c r="I226" s="20"/>
      <c r="J226" s="20"/>
    </row>
    <row r="227" spans="3:10" ht="20.25" customHeight="1" x14ac:dyDescent="0.3">
      <c r="C227" s="20"/>
      <c r="D227" s="20"/>
      <c r="E227" s="20"/>
      <c r="F227" s="20"/>
      <c r="G227" s="20"/>
      <c r="H227" s="20"/>
      <c r="I227" s="20"/>
      <c r="J227" s="20"/>
    </row>
    <row r="228" spans="3:10" ht="20.25" customHeight="1" x14ac:dyDescent="0.3">
      <c r="C228" s="20"/>
      <c r="D228" s="20"/>
      <c r="E228" s="20"/>
      <c r="F228" s="20"/>
      <c r="G228" s="20"/>
      <c r="H228" s="20"/>
      <c r="I228" s="20"/>
      <c r="J228" s="20"/>
    </row>
    <row r="229" spans="3:10" ht="20.25" customHeight="1" x14ac:dyDescent="0.3">
      <c r="C229" s="20"/>
      <c r="D229" s="20"/>
      <c r="E229" s="20"/>
      <c r="F229" s="20"/>
      <c r="G229" s="20"/>
      <c r="H229" s="20"/>
      <c r="I229" s="20"/>
      <c r="J229" s="20"/>
    </row>
    <row r="230" spans="3:10" ht="20.25" customHeight="1" x14ac:dyDescent="0.3">
      <c r="C230" s="20"/>
      <c r="D230" s="20"/>
      <c r="E230" s="20"/>
      <c r="F230" s="20"/>
      <c r="G230" s="20"/>
      <c r="H230" s="20"/>
      <c r="I230" s="20"/>
      <c r="J230" s="20"/>
    </row>
    <row r="231" spans="3:10" ht="20.25" customHeight="1" x14ac:dyDescent="0.3">
      <c r="C231" s="20"/>
      <c r="D231" s="20"/>
      <c r="E231" s="20"/>
      <c r="F231" s="20"/>
      <c r="G231" s="20"/>
      <c r="H231" s="20"/>
      <c r="I231" s="20"/>
      <c r="J231" s="20"/>
    </row>
    <row r="232" spans="3:10" ht="20.25" customHeight="1" x14ac:dyDescent="0.3">
      <c r="C232" s="20"/>
      <c r="D232" s="20"/>
      <c r="E232" s="20"/>
      <c r="F232" s="20"/>
      <c r="G232" s="20"/>
      <c r="H232" s="20"/>
      <c r="I232" s="20"/>
      <c r="J232" s="20"/>
    </row>
    <row r="233" spans="3:10" ht="20.25" customHeight="1" x14ac:dyDescent="0.3">
      <c r="C233" s="20"/>
      <c r="D233" s="20"/>
      <c r="E233" s="20"/>
      <c r="F233" s="20"/>
      <c r="G233" s="20"/>
      <c r="H233" s="20"/>
      <c r="I233" s="20"/>
      <c r="J233" s="20"/>
    </row>
    <row r="234" spans="3:10" ht="20.25" customHeight="1" x14ac:dyDescent="0.3"/>
    <row r="235" spans="3:10" ht="23.25" customHeight="1" x14ac:dyDescent="0.3"/>
    <row r="236" spans="3:10" ht="24" customHeight="1" x14ac:dyDescent="0.3"/>
    <row r="237" spans="3:10" ht="24" customHeight="1" x14ac:dyDescent="0.3"/>
    <row r="238" spans="3:10" ht="24" customHeight="1" x14ac:dyDescent="0.3"/>
    <row r="239" spans="3:10" ht="24" customHeight="1" x14ac:dyDescent="0.3"/>
    <row r="240" spans="3:10" ht="21" customHeight="1" x14ac:dyDescent="0.3"/>
    <row r="241" spans="3:10" ht="25.5" customHeight="1" x14ac:dyDescent="0.3"/>
    <row r="242" spans="3:10" ht="25.5" customHeight="1" x14ac:dyDescent="0.3"/>
    <row r="243" spans="3:10" ht="22.5" customHeight="1" x14ac:dyDescent="0.3"/>
    <row r="244" spans="3:10" ht="22.5" customHeight="1" x14ac:dyDescent="0.3"/>
    <row r="245" spans="3:10" ht="22.5" customHeight="1" x14ac:dyDescent="0.3"/>
    <row r="246" spans="3:10" ht="20.25" customHeight="1" x14ac:dyDescent="0.3"/>
    <row r="247" spans="3:10" ht="20.25" customHeight="1" x14ac:dyDescent="0.3"/>
    <row r="248" spans="3:10" ht="18" customHeight="1" x14ac:dyDescent="0.3"/>
    <row r="249" spans="3:10" x14ac:dyDescent="0.3">
      <c r="C249" s="20"/>
      <c r="D249" s="20"/>
      <c r="E249" s="20"/>
      <c r="F249" s="20"/>
      <c r="G249" s="20"/>
      <c r="H249" s="20"/>
      <c r="I249" s="20"/>
      <c r="J249" s="20"/>
    </row>
    <row r="250" spans="3:10" x14ac:dyDescent="0.3">
      <c r="C250" s="20"/>
      <c r="D250" s="20"/>
      <c r="E250" s="20"/>
      <c r="F250" s="20"/>
      <c r="G250" s="20"/>
      <c r="H250" s="20"/>
      <c r="I250" s="20"/>
      <c r="J250" s="20"/>
    </row>
    <row r="251" spans="3:10" x14ac:dyDescent="0.3">
      <c r="C251" s="20"/>
      <c r="D251" s="20"/>
      <c r="E251" s="20"/>
      <c r="F251" s="20"/>
      <c r="G251" s="20"/>
      <c r="H251" s="20"/>
      <c r="I251" s="20"/>
      <c r="J251" s="20"/>
    </row>
    <row r="253" spans="3:10" x14ac:dyDescent="0.3">
      <c r="C253" s="20"/>
      <c r="D253" s="20"/>
      <c r="E253" s="20"/>
      <c r="F253" s="20"/>
      <c r="G253" s="20"/>
      <c r="H253" s="20"/>
      <c r="I253" s="20"/>
      <c r="J253" s="20"/>
    </row>
    <row r="254" spans="3:10" x14ac:dyDescent="0.3">
      <c r="C254" s="20"/>
      <c r="D254" s="20"/>
      <c r="E254" s="20"/>
      <c r="F254" s="20"/>
      <c r="G254" s="20"/>
      <c r="H254" s="20"/>
      <c r="I254" s="20"/>
      <c r="J254" s="20"/>
    </row>
    <row r="257" spans="2:11" x14ac:dyDescent="0.3">
      <c r="C257" s="20"/>
      <c r="D257" s="20"/>
      <c r="E257" s="20"/>
      <c r="F257" s="20"/>
      <c r="G257" s="20"/>
      <c r="H257" s="20"/>
      <c r="I257" s="20"/>
      <c r="J257" s="20"/>
    </row>
    <row r="258" spans="2:11" x14ac:dyDescent="0.3">
      <c r="C258" s="20"/>
      <c r="D258" s="20"/>
      <c r="E258" s="20"/>
      <c r="F258" s="20"/>
      <c r="G258" s="20"/>
      <c r="H258" s="20"/>
      <c r="I258" s="20"/>
      <c r="J258" s="20"/>
    </row>
    <row r="266" spans="2:11" x14ac:dyDescent="0.3">
      <c r="C266" s="20"/>
      <c r="D266" s="20"/>
      <c r="E266" s="20"/>
      <c r="F266" s="20"/>
      <c r="G266" s="20"/>
      <c r="H266" s="20"/>
      <c r="I266" s="20"/>
      <c r="J266" s="20"/>
    </row>
    <row r="272" spans="2:11" s="21" customFormat="1" x14ac:dyDescent="0.3">
      <c r="B272" s="20"/>
      <c r="K272" s="20"/>
    </row>
    <row r="275" spans="11:11" x14ac:dyDescent="0.3">
      <c r="K275" s="21"/>
    </row>
    <row r="291" s="20" customFormat="1" x14ac:dyDescent="0.3"/>
    <row r="292" s="20" customFormat="1" x14ac:dyDescent="0.3"/>
    <row r="305" s="20" customFormat="1" x14ac:dyDescent="0.3"/>
    <row r="306" s="20" customFormat="1" x14ac:dyDescent="0.3"/>
    <row r="453" spans="1:19" x14ac:dyDescent="0.3">
      <c r="S453" s="21"/>
    </row>
    <row r="454" spans="1:19" s="21" customFormat="1" x14ac:dyDescent="0.3">
      <c r="A454" s="20"/>
      <c r="B454" s="20"/>
      <c r="K454" s="20"/>
      <c r="L454" s="20"/>
      <c r="M454" s="20"/>
      <c r="N454" s="20"/>
      <c r="O454" s="20"/>
      <c r="P454" s="20"/>
      <c r="Q454" s="20"/>
      <c r="R454" s="20"/>
      <c r="S454" s="20"/>
    </row>
    <row r="457" spans="1:19" x14ac:dyDescent="0.3">
      <c r="S457" s="21"/>
    </row>
    <row r="458" spans="1:19" s="21" customFormat="1" x14ac:dyDescent="0.3">
      <c r="A458" s="20"/>
      <c r="B458" s="20"/>
      <c r="K458" s="20"/>
      <c r="L458" s="20"/>
      <c r="M458" s="20"/>
      <c r="N458" s="20"/>
      <c r="O458" s="20"/>
      <c r="P458" s="20"/>
      <c r="Q458" s="20"/>
      <c r="R458" s="20"/>
      <c r="S458" s="20"/>
    </row>
    <row r="475" spans="1:19" x14ac:dyDescent="0.3">
      <c r="S475" s="21"/>
    </row>
    <row r="476" spans="1:19" s="21" customFormat="1" x14ac:dyDescent="0.3">
      <c r="A476" s="20"/>
      <c r="B476" s="20"/>
      <c r="K476" s="20"/>
      <c r="L476" s="20"/>
      <c r="M476" s="20"/>
      <c r="N476" s="20"/>
      <c r="O476" s="20"/>
      <c r="P476" s="20"/>
      <c r="Q476" s="20"/>
      <c r="R476" s="20"/>
      <c r="S476" s="20"/>
    </row>
    <row r="479" spans="1:19" x14ac:dyDescent="0.3">
      <c r="S479" s="21"/>
    </row>
    <row r="480" spans="1:19" s="21" customFormat="1" x14ac:dyDescent="0.3">
      <c r="A480" s="20"/>
      <c r="B480" s="20"/>
      <c r="K480" s="20"/>
      <c r="L480" s="20"/>
      <c r="M480" s="20"/>
      <c r="N480" s="20"/>
      <c r="O480" s="20"/>
      <c r="P480" s="20"/>
      <c r="Q480" s="20"/>
      <c r="R480" s="20"/>
      <c r="S480" s="20"/>
    </row>
    <row r="489" spans="1:19" x14ac:dyDescent="0.3">
      <c r="S489" s="21"/>
    </row>
    <row r="490" spans="1:19" s="21" customFormat="1" x14ac:dyDescent="0.3">
      <c r="A490" s="20"/>
      <c r="B490" s="20"/>
      <c r="K490" s="20"/>
      <c r="L490" s="20"/>
      <c r="M490" s="20"/>
      <c r="N490" s="20"/>
      <c r="O490" s="20"/>
      <c r="P490" s="20"/>
      <c r="Q490" s="20"/>
      <c r="R490" s="20"/>
      <c r="S490" s="20"/>
    </row>
    <row r="493" spans="1:19" x14ac:dyDescent="0.3">
      <c r="S493" s="21"/>
    </row>
    <row r="494" spans="1:19" s="21" customFormat="1" x14ac:dyDescent="0.3">
      <c r="A494" s="20"/>
      <c r="B494" s="20"/>
      <c r="K494" s="20"/>
      <c r="L494" s="20"/>
      <c r="M494" s="20"/>
      <c r="N494" s="20"/>
      <c r="O494" s="20"/>
      <c r="P494" s="20"/>
      <c r="Q494" s="20"/>
      <c r="R494" s="20"/>
      <c r="S494" s="20"/>
    </row>
    <row r="511" ht="17.100000000000001" customHeight="1" x14ac:dyDescent="0.3"/>
    <row r="514" spans="1:19" x14ac:dyDescent="0.3">
      <c r="S514" s="21"/>
    </row>
    <row r="515" spans="1:19" s="21" customFormat="1" ht="17.100000000000001" customHeight="1" x14ac:dyDescent="0.3">
      <c r="A515" s="20"/>
      <c r="B515" s="20"/>
      <c r="K515" s="20"/>
      <c r="L515" s="20"/>
      <c r="M515" s="20"/>
      <c r="N515" s="20"/>
      <c r="O515" s="20"/>
      <c r="P515" s="20"/>
      <c r="Q515" s="20"/>
      <c r="R515" s="20"/>
      <c r="S515" s="20"/>
    </row>
  </sheetData>
  <autoFilter ref="C3:K3" xr:uid="{00000000-0009-0000-0000-000002000000}">
    <sortState xmlns:xlrd2="http://schemas.microsoft.com/office/spreadsheetml/2017/richdata2" ref="C4:K27">
      <sortCondition ref="E3"/>
    </sortState>
  </autoFilter>
  <mergeCells count="7">
    <mergeCell ref="B40:H40"/>
    <mergeCell ref="B1:K1"/>
    <mergeCell ref="B2:K2"/>
    <mergeCell ref="B20:K20"/>
    <mergeCell ref="B24:K24"/>
    <mergeCell ref="B28:K28"/>
    <mergeCell ref="B33:K3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40" orientation="portrait" horizontalDpi="4294967293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71"/>
  <sheetViews>
    <sheetView zoomScaleNormal="100" workbookViewId="0">
      <selection activeCell="H12" sqref="H12"/>
    </sheetView>
  </sheetViews>
  <sheetFormatPr defaultRowHeight="16.5" x14ac:dyDescent="0.3"/>
  <cols>
    <col min="2" max="2" width="5.25" customWidth="1"/>
    <col min="3" max="3" width="16" customWidth="1"/>
    <col min="4" max="4" width="8.375" customWidth="1"/>
    <col min="5" max="5" width="10.375" customWidth="1"/>
    <col min="6" max="6" width="10.125" customWidth="1"/>
    <col min="7" max="7" width="25.375" customWidth="1"/>
    <col min="8" max="8" width="21.25" customWidth="1"/>
    <col min="9" max="9" width="16" customWidth="1"/>
    <col min="10" max="10" width="21.75" style="1" customWidth="1"/>
    <col min="11" max="11" width="11.5" customWidth="1"/>
    <col min="14" max="14" width="15.125" customWidth="1"/>
  </cols>
  <sheetData>
    <row r="2" spans="2:16" ht="30" customHeight="1" x14ac:dyDescent="0.3">
      <c r="L2" s="1"/>
      <c r="M2" s="1"/>
      <c r="N2" s="1"/>
      <c r="P2" s="17"/>
    </row>
    <row r="3" spans="2:16" ht="30" customHeight="1" thickBot="1" x14ac:dyDescent="0.35">
      <c r="B3" s="36"/>
      <c r="L3" s="1"/>
      <c r="M3" s="1"/>
      <c r="N3" s="1"/>
    </row>
    <row r="4" spans="2:16" ht="30" customHeight="1" x14ac:dyDescent="0.3">
      <c r="B4" s="103" t="s">
        <v>40</v>
      </c>
      <c r="C4" s="104"/>
      <c r="D4" s="104"/>
      <c r="E4" s="104"/>
      <c r="F4" s="104"/>
      <c r="G4" s="104"/>
      <c r="H4" s="104"/>
      <c r="I4" s="104"/>
      <c r="J4" s="105"/>
    </row>
    <row r="5" spans="2:16" ht="50.1" customHeight="1" x14ac:dyDescent="0.3">
      <c r="B5" s="35"/>
      <c r="C5" s="16" t="s">
        <v>39</v>
      </c>
      <c r="D5" s="16" t="s">
        <v>38</v>
      </c>
      <c r="E5" s="16" t="s">
        <v>37</v>
      </c>
      <c r="F5" s="16" t="s">
        <v>36</v>
      </c>
      <c r="G5" s="16" t="s">
        <v>35</v>
      </c>
      <c r="H5" s="16" t="s">
        <v>34</v>
      </c>
      <c r="I5" s="16" t="s">
        <v>33</v>
      </c>
      <c r="J5" s="34" t="s">
        <v>32</v>
      </c>
      <c r="L5" s="33"/>
      <c r="M5" t="s">
        <v>31</v>
      </c>
    </row>
    <row r="6" spans="2:16" ht="30" customHeight="1" x14ac:dyDescent="0.3">
      <c r="B6" s="53">
        <v>1</v>
      </c>
      <c r="C6" s="63" t="s">
        <v>208</v>
      </c>
      <c r="D6" s="54" t="s">
        <v>209</v>
      </c>
      <c r="E6" s="54" t="s">
        <v>210</v>
      </c>
      <c r="F6" s="54" t="s">
        <v>211</v>
      </c>
      <c r="G6" s="43" t="s">
        <v>251</v>
      </c>
      <c r="H6" s="54"/>
      <c r="I6" s="43" t="s">
        <v>241</v>
      </c>
      <c r="J6" s="55" t="s">
        <v>270</v>
      </c>
      <c r="L6" s="33"/>
    </row>
    <row r="7" spans="2:16" ht="30" customHeight="1" x14ac:dyDescent="0.3">
      <c r="B7" s="71">
        <v>2</v>
      </c>
      <c r="C7" s="72" t="s">
        <v>203</v>
      </c>
      <c r="D7" s="73" t="s">
        <v>246</v>
      </c>
      <c r="E7" s="73" t="s">
        <v>247</v>
      </c>
      <c r="F7" s="73"/>
      <c r="G7" s="43" t="s">
        <v>251</v>
      </c>
      <c r="H7" s="73"/>
      <c r="I7" s="74" t="s">
        <v>241</v>
      </c>
      <c r="J7" s="75" t="s">
        <v>271</v>
      </c>
      <c r="L7" s="33"/>
    </row>
    <row r="8" spans="2:16" ht="30" customHeight="1" thickBot="1" x14ac:dyDescent="0.35">
      <c r="B8" s="64">
        <v>3</v>
      </c>
      <c r="C8" s="65" t="s">
        <v>237</v>
      </c>
      <c r="D8" s="66" t="s">
        <v>266</v>
      </c>
      <c r="E8" s="66" t="s">
        <v>267</v>
      </c>
      <c r="F8" s="66" t="s">
        <v>268</v>
      </c>
      <c r="G8" s="66" t="s">
        <v>273</v>
      </c>
      <c r="H8" s="67" t="s">
        <v>248</v>
      </c>
      <c r="I8" s="67" t="s">
        <v>241</v>
      </c>
      <c r="J8" s="68" t="s">
        <v>272</v>
      </c>
      <c r="L8" s="33"/>
    </row>
    <row r="9" spans="2:16" ht="30" customHeight="1" thickBot="1" x14ac:dyDescent="0.35">
      <c r="I9" s="108" t="s">
        <v>291</v>
      </c>
      <c r="J9" s="109"/>
      <c r="L9" s="33"/>
    </row>
    <row r="10" spans="2:16" ht="30" customHeight="1" x14ac:dyDescent="0.3">
      <c r="L10" s="32"/>
      <c r="M10" s="17" t="s">
        <v>30</v>
      </c>
    </row>
    <row r="11" spans="2:16" ht="30" customHeight="1" x14ac:dyDescent="0.3">
      <c r="C11" s="1"/>
      <c r="J11"/>
      <c r="L11" s="32"/>
      <c r="M11" s="17"/>
    </row>
    <row r="12" spans="2:16" ht="30" customHeight="1" x14ac:dyDescent="0.3">
      <c r="L12" s="106" t="s">
        <v>29</v>
      </c>
      <c r="M12" s="107"/>
      <c r="N12" s="107"/>
      <c r="P12" s="19"/>
    </row>
    <row r="13" spans="2:16" ht="30" customHeight="1" x14ac:dyDescent="0.3">
      <c r="L13" s="106"/>
      <c r="M13" s="107"/>
      <c r="N13" s="107"/>
      <c r="P13" s="19"/>
    </row>
    <row r="14" spans="2:16" ht="30" customHeight="1" x14ac:dyDescent="0.3">
      <c r="L14" s="107"/>
      <c r="M14" s="107"/>
      <c r="N14" s="107"/>
      <c r="P14" s="17"/>
    </row>
    <row r="15" spans="2:16" ht="50.1" customHeight="1" x14ac:dyDescent="0.3">
      <c r="L15" s="107"/>
      <c r="M15" s="107"/>
      <c r="N15" s="107"/>
      <c r="P15" s="1"/>
    </row>
    <row r="16" spans="2:16" ht="30" customHeight="1" x14ac:dyDescent="0.3">
      <c r="L16" s="107"/>
      <c r="M16" s="107"/>
      <c r="N16" s="107"/>
      <c r="P16" s="17"/>
    </row>
    <row r="17" spans="12:16" ht="30" customHeight="1" x14ac:dyDescent="0.3">
      <c r="L17" s="107"/>
      <c r="M17" s="107"/>
      <c r="N17" s="107"/>
    </row>
    <row r="18" spans="12:16" ht="30" customHeight="1" x14ac:dyDescent="0.3">
      <c r="L18" s="107"/>
      <c r="M18" s="107"/>
      <c r="N18" s="107"/>
    </row>
    <row r="19" spans="12:16" ht="30" customHeight="1" x14ac:dyDescent="0.3">
      <c r="L19" s="107"/>
      <c r="M19" s="107"/>
      <c r="N19" s="107"/>
    </row>
    <row r="20" spans="12:16" ht="30" customHeight="1" x14ac:dyDescent="0.3">
      <c r="L20" s="107"/>
      <c r="M20" s="107"/>
      <c r="N20" s="107"/>
    </row>
    <row r="21" spans="12:16" ht="30" customHeight="1" x14ac:dyDescent="0.3">
      <c r="L21" s="107"/>
      <c r="M21" s="107"/>
      <c r="N21" s="107"/>
    </row>
    <row r="22" spans="12:16" ht="30" customHeight="1" x14ac:dyDescent="0.3">
      <c r="L22" s="107"/>
      <c r="M22" s="107"/>
      <c r="N22" s="107"/>
    </row>
    <row r="23" spans="12:16" ht="30" customHeight="1" x14ac:dyDescent="0.3">
      <c r="L23" s="107"/>
      <c r="M23" s="107"/>
      <c r="N23" s="107"/>
    </row>
    <row r="24" spans="12:16" ht="29.1" customHeight="1" x14ac:dyDescent="0.3">
      <c r="L24" s="107"/>
      <c r="M24" s="107"/>
      <c r="N24" s="107"/>
    </row>
    <row r="25" spans="12:16" ht="29.1" customHeight="1" x14ac:dyDescent="0.3">
      <c r="L25" s="107"/>
      <c r="M25" s="107"/>
      <c r="N25" s="107"/>
    </row>
    <row r="26" spans="12:16" ht="30" customHeight="1" x14ac:dyDescent="0.3">
      <c r="L26" s="107"/>
      <c r="M26" s="107"/>
      <c r="N26" s="107"/>
    </row>
    <row r="27" spans="12:16" ht="32.25" customHeight="1" x14ac:dyDescent="0.3">
      <c r="L27" s="107"/>
      <c r="M27" s="107"/>
      <c r="N27" s="107"/>
      <c r="P27" s="19"/>
    </row>
    <row r="28" spans="12:16" ht="30" customHeight="1" x14ac:dyDescent="0.3">
      <c r="L28" s="107"/>
      <c r="M28" s="107"/>
      <c r="N28" s="107"/>
    </row>
    <row r="29" spans="12:16" ht="54.75" customHeight="1" x14ac:dyDescent="0.3"/>
    <row r="30" spans="12:16" ht="35.1" customHeight="1" x14ac:dyDescent="0.3"/>
    <row r="31" spans="12:16" ht="40.5" customHeight="1" x14ac:dyDescent="0.3"/>
    <row r="32" spans="12:16" ht="33.75" customHeight="1" x14ac:dyDescent="0.3">
      <c r="P32" s="17"/>
    </row>
    <row r="33" spans="12:16" ht="30.75" customHeight="1" x14ac:dyDescent="0.3">
      <c r="P33" s="17"/>
    </row>
    <row r="34" spans="12:16" ht="30" customHeight="1" x14ac:dyDescent="0.3">
      <c r="P34" s="17"/>
    </row>
    <row r="35" spans="12:16" ht="30" customHeight="1" x14ac:dyDescent="0.3">
      <c r="P35" s="17"/>
    </row>
    <row r="36" spans="12:16" ht="30" customHeight="1" x14ac:dyDescent="0.3">
      <c r="L36" s="1"/>
      <c r="P36" s="19"/>
    </row>
    <row r="37" spans="12:16" ht="30" customHeight="1" x14ac:dyDescent="0.3">
      <c r="P37" s="17"/>
    </row>
    <row r="38" spans="12:16" ht="30" customHeight="1" x14ac:dyDescent="0.3"/>
    <row r="39" spans="12:16" ht="30" customHeight="1" x14ac:dyDescent="0.3"/>
    <row r="40" spans="12:16" ht="30" customHeight="1" x14ac:dyDescent="0.3"/>
    <row r="41" spans="12:16" ht="30" customHeight="1" x14ac:dyDescent="0.3"/>
    <row r="42" spans="12:16" ht="30" customHeight="1" x14ac:dyDescent="0.3"/>
    <row r="43" spans="12:16" ht="30" customHeight="1" x14ac:dyDescent="0.3"/>
    <row r="44" spans="12:16" ht="30" customHeight="1" x14ac:dyDescent="0.3"/>
    <row r="45" spans="12:16" ht="30" customHeight="1" x14ac:dyDescent="0.3"/>
    <row r="46" spans="12:16" ht="30" customHeight="1" x14ac:dyDescent="0.3"/>
    <row r="47" spans="12:16" ht="30" customHeight="1" x14ac:dyDescent="0.3"/>
    <row r="48" spans="12:16" ht="30" customHeight="1" x14ac:dyDescent="0.3"/>
    <row r="49" ht="30" customHeight="1" x14ac:dyDescent="0.3"/>
    <row r="50" ht="30" customHeight="1" x14ac:dyDescent="0.3"/>
    <row r="51" ht="30" customHeight="1" x14ac:dyDescent="0.3"/>
    <row r="52" ht="30" customHeight="1" x14ac:dyDescent="0.3"/>
    <row r="53" ht="30" customHeight="1" x14ac:dyDescent="0.3"/>
    <row r="54" ht="30" customHeight="1" x14ac:dyDescent="0.3"/>
    <row r="55" ht="30" customHeight="1" x14ac:dyDescent="0.3"/>
    <row r="56" ht="30" customHeight="1" x14ac:dyDescent="0.3"/>
    <row r="57" ht="30" customHeight="1" x14ac:dyDescent="0.3"/>
    <row r="58" ht="30" customHeight="1" x14ac:dyDescent="0.3"/>
    <row r="59" ht="30" customHeight="1" x14ac:dyDescent="0.3"/>
    <row r="60" ht="30" customHeight="1" x14ac:dyDescent="0.3"/>
    <row r="61" ht="30" customHeight="1" x14ac:dyDescent="0.3"/>
    <row r="62" ht="30" customHeight="1" x14ac:dyDescent="0.3"/>
    <row r="63" ht="30" customHeight="1" x14ac:dyDescent="0.3"/>
    <row r="64" ht="30" customHeight="1" x14ac:dyDescent="0.3"/>
    <row r="65" ht="30" customHeight="1" x14ac:dyDescent="0.3"/>
    <row r="66" ht="30" customHeight="1" x14ac:dyDescent="0.3"/>
    <row r="67" ht="30" customHeight="1" x14ac:dyDescent="0.3"/>
    <row r="68" ht="30" customHeight="1" x14ac:dyDescent="0.3"/>
    <row r="69" ht="30" customHeight="1" x14ac:dyDescent="0.3"/>
    <row r="70" ht="30" customHeight="1" x14ac:dyDescent="0.3"/>
    <row r="71" ht="30" customHeight="1" x14ac:dyDescent="0.3"/>
  </sheetData>
  <mergeCells count="3">
    <mergeCell ref="B4:J4"/>
    <mergeCell ref="L12:N28"/>
    <mergeCell ref="I9:J9"/>
  </mergeCells>
  <phoneticPr fontId="2" type="noConversion"/>
  <printOptions horizontalCentered="1" verticalCentered="1"/>
  <pageMargins left="0.25" right="0.25" top="0.75" bottom="0.75" header="0.3" footer="0.3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치료실현황</vt:lpstr>
      <vt:lpstr>전문재활환자 </vt:lpstr>
      <vt:lpstr>회복기환자 </vt:lpstr>
      <vt:lpstr>산재명단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queen</dc:creator>
  <cp:lastModifiedBy>Queen</cp:lastModifiedBy>
  <cp:lastPrinted>2025-09-08T07:02:33Z</cp:lastPrinted>
  <dcterms:created xsi:type="dcterms:W3CDTF">2025-03-10T07:57:00Z</dcterms:created>
  <dcterms:modified xsi:type="dcterms:W3CDTF">2026-01-08T02:22:21Z</dcterms:modified>
</cp:coreProperties>
</file>